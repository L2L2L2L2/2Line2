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박경태\python\2Line2-main\"/>
    </mc:Choice>
  </mc:AlternateContent>
  <xr:revisionPtr revIDLastSave="0" documentId="13_ncr:1_{A79FE10D-38E8-464A-8AB6-E16C97CAF8B6}" xr6:coauthVersionLast="47" xr6:coauthVersionMax="47" xr10:uidLastSave="{00000000-0000-0000-0000-000000000000}"/>
  <bookViews>
    <workbookView xWindow="-120" yWindow="-120" windowWidth="29040" windowHeight="15720" xr2:uid="{21F0DF5A-062E-4FED-9C31-648F525201B8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3" i="1" l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G88" i="1"/>
  <c r="K88" i="1" s="1"/>
  <c r="J88" i="1"/>
  <c r="G89" i="1"/>
  <c r="K89" i="1" s="1"/>
  <c r="J89" i="1"/>
  <c r="G90" i="1"/>
  <c r="K90" i="1" s="1"/>
  <c r="J90" i="1"/>
  <c r="G91" i="1"/>
  <c r="K91" i="1" s="1"/>
  <c r="J91" i="1"/>
  <c r="G92" i="1"/>
  <c r="K92" i="1" s="1"/>
  <c r="J92" i="1"/>
  <c r="G93" i="1"/>
  <c r="K93" i="1" s="1"/>
  <c r="J93" i="1"/>
  <c r="G94" i="1"/>
  <c r="K94" i="1" s="1"/>
  <c r="J94" i="1"/>
  <c r="G95" i="1"/>
  <c r="K95" i="1" s="1"/>
  <c r="J95" i="1"/>
  <c r="G96" i="1"/>
  <c r="K96" i="1" s="1"/>
  <c r="J96" i="1"/>
  <c r="G97" i="1"/>
  <c r="K97" i="1" s="1"/>
  <c r="J97" i="1"/>
  <c r="G98" i="1"/>
  <c r="K98" i="1" s="1"/>
  <c r="J98" i="1"/>
  <c r="G99" i="1"/>
  <c r="K99" i="1" s="1"/>
  <c r="J99" i="1"/>
  <c r="G100" i="1"/>
  <c r="K100" i="1" s="1"/>
  <c r="J100" i="1"/>
  <c r="G101" i="1"/>
  <c r="K101" i="1" s="1"/>
  <c r="J101" i="1"/>
  <c r="K87" i="1"/>
  <c r="J87" i="1"/>
  <c r="G87" i="1"/>
  <c r="F87" i="1"/>
  <c r="F83" i="1"/>
  <c r="G83" i="1"/>
  <c r="J83" i="1"/>
  <c r="K83" i="1"/>
  <c r="F84" i="1"/>
  <c r="G84" i="1"/>
  <c r="K84" i="1" s="1"/>
  <c r="J84" i="1"/>
  <c r="F85" i="1"/>
  <c r="G85" i="1"/>
  <c r="J85" i="1"/>
  <c r="K85" i="1"/>
  <c r="F86" i="1"/>
  <c r="G86" i="1"/>
  <c r="K86" i="1" s="1"/>
  <c r="J86" i="1"/>
  <c r="J82" i="1"/>
  <c r="G82" i="1"/>
  <c r="K82" i="1" s="1"/>
  <c r="F82" i="1"/>
  <c r="A82" i="1"/>
  <c r="J81" i="1"/>
  <c r="G81" i="1"/>
  <c r="K81" i="1" s="1"/>
  <c r="F81" i="1"/>
  <c r="A81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A79" i="1"/>
  <c r="A80" i="1"/>
  <c r="J71" i="1"/>
  <c r="J72" i="1"/>
  <c r="J73" i="1"/>
  <c r="J74" i="1"/>
  <c r="J75" i="1"/>
  <c r="J76" i="1"/>
  <c r="J77" i="1"/>
  <c r="J78" i="1"/>
  <c r="J79" i="1"/>
  <c r="J80" i="1"/>
  <c r="J70" i="1"/>
  <c r="J68" i="1"/>
  <c r="J69" i="1"/>
  <c r="F80" i="1"/>
  <c r="F79" i="1"/>
  <c r="G80" i="1"/>
  <c r="G79" i="1"/>
  <c r="G50" i="1"/>
  <c r="G51" i="1"/>
  <c r="G52" i="1"/>
  <c r="G53" i="1"/>
  <c r="G54" i="1"/>
  <c r="G55" i="1"/>
  <c r="G56" i="1"/>
  <c r="G57" i="1"/>
  <c r="G58" i="1"/>
  <c r="G59" i="1"/>
  <c r="G60" i="1"/>
  <c r="K60" i="1" s="1"/>
  <c r="G61" i="1"/>
  <c r="K61" i="1" s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F74" i="1"/>
  <c r="F75" i="1"/>
  <c r="F76" i="1"/>
  <c r="F77" i="1"/>
  <c r="F78" i="1"/>
  <c r="A74" i="1"/>
  <c r="A75" i="1"/>
  <c r="A76" i="1"/>
  <c r="A77" i="1"/>
  <c r="A78" i="1"/>
  <c r="F68" i="1"/>
  <c r="F69" i="1"/>
  <c r="F70" i="1"/>
  <c r="F71" i="1"/>
  <c r="F72" i="1"/>
  <c r="F73" i="1"/>
  <c r="A68" i="1"/>
  <c r="A69" i="1"/>
  <c r="A70" i="1"/>
  <c r="A71" i="1"/>
  <c r="A72" i="1"/>
  <c r="A73" i="1"/>
  <c r="K50" i="1"/>
  <c r="K51" i="1"/>
  <c r="K52" i="1"/>
  <c r="K53" i="1"/>
  <c r="K54" i="1"/>
  <c r="K55" i="1"/>
  <c r="K56" i="1"/>
  <c r="K57" i="1"/>
  <c r="K58" i="1"/>
  <c r="K59" i="1"/>
  <c r="K62" i="1"/>
  <c r="K63" i="1"/>
  <c r="K64" i="1"/>
  <c r="K65" i="1"/>
  <c r="K66" i="1"/>
  <c r="K67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2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G3" i="1"/>
  <c r="K3" i="1" s="1"/>
  <c r="G4" i="1"/>
  <c r="K4" i="1" s="1"/>
  <c r="G5" i="1"/>
  <c r="K5" i="1" s="1"/>
  <c r="G6" i="1"/>
  <c r="K6" i="1" s="1"/>
  <c r="G7" i="1"/>
  <c r="K7" i="1" s="1"/>
  <c r="G8" i="1"/>
  <c r="K8" i="1" s="1"/>
  <c r="G9" i="1"/>
  <c r="K9" i="1" s="1"/>
  <c r="G10" i="1"/>
  <c r="K10" i="1" s="1"/>
  <c r="G11" i="1"/>
  <c r="K11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G32" i="1"/>
  <c r="K32" i="1" s="1"/>
  <c r="G33" i="1"/>
  <c r="K33" i="1" s="1"/>
  <c r="G34" i="1"/>
  <c r="K34" i="1" s="1"/>
  <c r="G35" i="1"/>
  <c r="K35" i="1" s="1"/>
  <c r="G36" i="1"/>
  <c r="K36" i="1" s="1"/>
  <c r="G37" i="1"/>
  <c r="K37" i="1" s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G45" i="1"/>
  <c r="K45" i="1" s="1"/>
  <c r="G46" i="1"/>
  <c r="K46" i="1" s="1"/>
  <c r="G47" i="1"/>
  <c r="K47" i="1" s="1"/>
  <c r="G48" i="1"/>
  <c r="K48" i="1" s="1"/>
  <c r="G49" i="1"/>
  <c r="K49" i="1" s="1"/>
  <c r="G2" i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2" i="1"/>
</calcChain>
</file>

<file path=xl/sharedStrings.xml><?xml version="1.0" encoding="utf-8"?>
<sst xmlns="http://schemas.openxmlformats.org/spreadsheetml/2006/main" count="964" uniqueCount="402">
  <si>
    <t>연번</t>
    <phoneticPr fontId="2" type="noConversion"/>
  </si>
  <si>
    <t>역번호</t>
    <phoneticPr fontId="2" type="noConversion"/>
  </si>
  <si>
    <t>종류</t>
    <phoneticPr fontId="2" type="noConversion"/>
  </si>
  <si>
    <t>종류번호</t>
    <phoneticPr fontId="2" type="noConversion"/>
  </si>
  <si>
    <t>구역</t>
    <phoneticPr fontId="2" type="noConversion"/>
  </si>
  <si>
    <t>코드</t>
    <phoneticPr fontId="2" type="noConversion"/>
  </si>
  <si>
    <t>구역코드</t>
    <phoneticPr fontId="2" type="noConversion"/>
  </si>
  <si>
    <t>위치</t>
    <phoneticPr fontId="2" type="noConversion"/>
  </si>
  <si>
    <t>연락처</t>
    <phoneticPr fontId="2" type="noConversion"/>
  </si>
  <si>
    <t>ES</t>
  </si>
  <si>
    <t>ZONE08</t>
    <phoneticPr fontId="2" type="noConversion"/>
  </si>
  <si>
    <t>032-451-4311</t>
    <phoneticPr fontId="2" type="noConversion"/>
  </si>
  <si>
    <t>ZONE14</t>
  </si>
  <si>
    <t>ZONE07</t>
    <phoneticPr fontId="2" type="noConversion"/>
  </si>
  <si>
    <t>ZONE12</t>
  </si>
  <si>
    <t>ZONE09</t>
    <phoneticPr fontId="2" type="noConversion"/>
  </si>
  <si>
    <t>ZONE11</t>
    <phoneticPr fontId="2" type="noConversion"/>
  </si>
  <si>
    <t>ZONE02</t>
    <phoneticPr fontId="2" type="noConversion"/>
  </si>
  <si>
    <t>ZONE05</t>
    <phoneticPr fontId="2" type="noConversion"/>
  </si>
  <si>
    <t>ZONE01</t>
    <phoneticPr fontId="2" type="noConversion"/>
  </si>
  <si>
    <t>ZONE13</t>
  </si>
  <si>
    <t>ZONE10</t>
  </si>
  <si>
    <t>EXIT</t>
  </si>
  <si>
    <t>ZONE03</t>
    <phoneticPr fontId="2" type="noConversion"/>
  </si>
  <si>
    <t>ZONE06</t>
    <phoneticPr fontId="2" type="noConversion"/>
  </si>
  <si>
    <t>ZONE04</t>
    <phoneticPr fontId="2" type="noConversion"/>
  </si>
  <si>
    <t>TOILET</t>
  </si>
  <si>
    <t>6M</t>
  </si>
  <si>
    <t>6W</t>
  </si>
  <si>
    <t>5M</t>
  </si>
  <si>
    <t>5W</t>
  </si>
  <si>
    <t>UP</t>
  </si>
  <si>
    <t>FRONT</t>
  </si>
  <si>
    <t>ZONE14</t>
    <phoneticPr fontId="2" type="noConversion"/>
  </si>
  <si>
    <t>MID</t>
  </si>
  <si>
    <t>ZONE13</t>
    <phoneticPr fontId="2" type="noConversion"/>
  </si>
  <si>
    <t>REAR</t>
  </si>
  <si>
    <t>ZONE12</t>
    <phoneticPr fontId="2" type="noConversion"/>
  </si>
  <si>
    <t>DOWN</t>
  </si>
  <si>
    <t>ZONE11</t>
  </si>
  <si>
    <t>STA</t>
    <phoneticPr fontId="2" type="noConversion"/>
  </si>
  <si>
    <t>https://2line.pages.dev/?id=211ES001</t>
    <phoneticPr fontId="2" type="noConversion"/>
  </si>
  <si>
    <t>https://2line.pages.dev/?id=211ES002</t>
    <phoneticPr fontId="2" type="noConversion"/>
  </si>
  <si>
    <t>https://2line.pages.dev/?id=211ES003</t>
    <phoneticPr fontId="2" type="noConversion"/>
  </si>
  <si>
    <t>https://2line.pages.dev/?id=211ES004</t>
    <phoneticPr fontId="2" type="noConversion"/>
  </si>
  <si>
    <t>https://2line.pages.dev/?id=211ES005</t>
    <phoneticPr fontId="2" type="noConversion"/>
  </si>
  <si>
    <t>https://2line.pages.dev/?id=211ES006</t>
    <phoneticPr fontId="2" type="noConversion"/>
  </si>
  <si>
    <t>https://2line.pages.dev/?id=211ES007</t>
    <phoneticPr fontId="2" type="noConversion"/>
  </si>
  <si>
    <t>https://2line.pages.dev/?id=211ES008</t>
    <phoneticPr fontId="2" type="noConversion"/>
  </si>
  <si>
    <t>https://2line.pages.dev/?id=211ES009</t>
    <phoneticPr fontId="2" type="noConversion"/>
  </si>
  <si>
    <t>https://2line.pages.dev/?id=211ES010</t>
    <phoneticPr fontId="2" type="noConversion"/>
  </si>
  <si>
    <t>https://2line.pages.dev/?id=211ES011</t>
    <phoneticPr fontId="2" type="noConversion"/>
  </si>
  <si>
    <t>https://2line.pages.dev/?id=211ES012</t>
    <phoneticPr fontId="2" type="noConversion"/>
  </si>
  <si>
    <t>https://2line.pages.dev/?id=211ES013</t>
    <phoneticPr fontId="2" type="noConversion"/>
  </si>
  <si>
    <t>https://2line.pages.dev/?id=211ES014</t>
    <phoneticPr fontId="2" type="noConversion"/>
  </si>
  <si>
    <t>https://2line.pages.dev/?id=211ES015</t>
    <phoneticPr fontId="2" type="noConversion"/>
  </si>
  <si>
    <t>https://2line.pages.dev/?id=211ES016</t>
    <phoneticPr fontId="2" type="noConversion"/>
  </si>
  <si>
    <t>https://2line.pages.dev/?id=211ES017</t>
    <phoneticPr fontId="2" type="noConversion"/>
  </si>
  <si>
    <t>https://2line.pages.dev/?id=211ES018</t>
    <phoneticPr fontId="2" type="noConversion"/>
  </si>
  <si>
    <t>https://2line.pages.dev/?id=211EV001</t>
    <phoneticPr fontId="2" type="noConversion"/>
  </si>
  <si>
    <t>https://2line.pages.dev/?id=211EV002</t>
    <phoneticPr fontId="2" type="noConversion"/>
  </si>
  <si>
    <t>https://2line.pages.dev/?id=211EV003</t>
    <phoneticPr fontId="2" type="noConversion"/>
  </si>
  <si>
    <t>https://2line.pages.dev/?id=211EV004</t>
    <phoneticPr fontId="2" type="noConversion"/>
  </si>
  <si>
    <t>https://2line.pages.dev/?id=211EV005</t>
    <phoneticPr fontId="2" type="noConversion"/>
  </si>
  <si>
    <t>https://2line.pages.dev/?id=211EV006</t>
    <phoneticPr fontId="2" type="noConversion"/>
  </si>
  <si>
    <t>https://2line.pages.dev/?id=211EXIT001</t>
    <phoneticPr fontId="2" type="noConversion"/>
  </si>
  <si>
    <t>https://2line.pages.dev/?id=211EXIT002</t>
    <phoneticPr fontId="2" type="noConversion"/>
  </si>
  <si>
    <t>https://2line.pages.dev/?id=211EXIT003</t>
    <phoneticPr fontId="2" type="noConversion"/>
  </si>
  <si>
    <t>https://2line.pages.dev/?id=211EXIT004</t>
    <phoneticPr fontId="2" type="noConversion"/>
  </si>
  <si>
    <t>https://2line.pages.dev/?id=211EXIT005</t>
    <phoneticPr fontId="2" type="noConversion"/>
  </si>
  <si>
    <t>https://2line.pages.dev/?id=211EXIT006</t>
    <phoneticPr fontId="2" type="noConversion"/>
  </si>
  <si>
    <t>https://2line.pages.dev/?id=211EXIT007</t>
    <phoneticPr fontId="2" type="noConversion"/>
  </si>
  <si>
    <t>https://2line.pages.dev/?id=211EXIT008</t>
    <phoneticPr fontId="2" type="noConversion"/>
  </si>
  <si>
    <t>https://2line.pages.dev/?id=211TOILET6M</t>
    <phoneticPr fontId="2" type="noConversion"/>
  </si>
  <si>
    <t>https://2line.pages.dev/?id=211TOILET6W</t>
    <phoneticPr fontId="2" type="noConversion"/>
  </si>
  <si>
    <t>https://2line.pages.dev/?id=211TOILET5M</t>
    <phoneticPr fontId="2" type="noConversion"/>
  </si>
  <si>
    <t>https://2line.pages.dev/?id=211TOILET5W</t>
    <phoneticPr fontId="2" type="noConversion"/>
  </si>
  <si>
    <t>https://2line.pages.dev/?id=211UPFRONT</t>
    <phoneticPr fontId="2" type="noConversion"/>
  </si>
  <si>
    <t>https://2line.pages.dev/?id=211UPMID</t>
    <phoneticPr fontId="2" type="noConversion"/>
  </si>
  <si>
    <t>https://2line.pages.dev/?id=211UPREAR</t>
    <phoneticPr fontId="2" type="noConversion"/>
  </si>
  <si>
    <t>https://2line.pages.dev/?id=211DOWNFRONT</t>
    <phoneticPr fontId="2" type="noConversion"/>
  </si>
  <si>
    <t>https://2line.pages.dev/?id=211DOWNMID</t>
    <phoneticPr fontId="2" type="noConversion"/>
  </si>
  <si>
    <t>https://2line.pages.dev/?id=211DOWNREAR</t>
    <phoneticPr fontId="2" type="noConversion"/>
  </si>
  <si>
    <t>https://2line.pages.dev/?id=211STA001</t>
    <phoneticPr fontId="2" type="noConversion"/>
  </si>
  <si>
    <t>https://2line.pages.dev/?id=211STA002</t>
    <phoneticPr fontId="2" type="noConversion"/>
  </si>
  <si>
    <t>링크2</t>
    <phoneticPr fontId="2" type="noConversion"/>
  </si>
  <si>
    <t>https://2line.pages.dev/?id=211EV007</t>
    <phoneticPr fontId="2" type="noConversion"/>
  </si>
  <si>
    <t>https://2line.pages.dev/?id=211EV008</t>
    <phoneticPr fontId="2" type="noConversion"/>
  </si>
  <si>
    <t>https://2line.pages.dev/?id=211EV009</t>
    <phoneticPr fontId="2" type="noConversion"/>
  </si>
  <si>
    <t>https://2line.pages.dev/?id=211EV010</t>
    <phoneticPr fontId="2" type="noConversion"/>
  </si>
  <si>
    <t>링크복사용 https://qrexplore.com/generate/</t>
    <phoneticPr fontId="2" type="noConversion"/>
  </si>
  <si>
    <t>211ES001</t>
  </si>
  <si>
    <t>211ES002</t>
  </si>
  <si>
    <t>211ES003</t>
  </si>
  <si>
    <t>211ES004</t>
  </si>
  <si>
    <t>211ES005</t>
  </si>
  <si>
    <t>211ES006</t>
  </si>
  <si>
    <t>211ES007</t>
  </si>
  <si>
    <t>211ES008</t>
  </si>
  <si>
    <t>211ES009</t>
  </si>
  <si>
    <t>211ES010</t>
  </si>
  <si>
    <t>211ES011</t>
  </si>
  <si>
    <t>211ES012</t>
  </si>
  <si>
    <t>211ES013</t>
  </si>
  <si>
    <t>211ES014</t>
  </si>
  <si>
    <t>211ES015</t>
  </si>
  <si>
    <t>211ES016</t>
  </si>
  <si>
    <t>211ES017</t>
  </si>
  <si>
    <t>211ES018</t>
  </si>
  <si>
    <t>211EXIT001</t>
  </si>
  <si>
    <t>211EXIT002</t>
  </si>
  <si>
    <t>211EXIT003</t>
  </si>
  <si>
    <t>211EXIT004</t>
  </si>
  <si>
    <t>211EXIT005</t>
  </si>
  <si>
    <t>211EXIT006</t>
  </si>
  <si>
    <t>211EXIT007</t>
  </si>
  <si>
    <t>211EXIT008</t>
  </si>
  <si>
    <t>211TOILET6M</t>
  </si>
  <si>
    <t>211TOILET6W</t>
  </si>
  <si>
    <t>211TOILET5M</t>
  </si>
  <si>
    <t>211TOILET5W</t>
  </si>
  <si>
    <t>211UPFRONT</t>
  </si>
  <si>
    <t>211UPMID</t>
  </si>
  <si>
    <t>211UPREAR</t>
  </si>
  <si>
    <t>211DOWNFRONT</t>
  </si>
  <si>
    <t>211DOWNMID</t>
  </si>
  <si>
    <t>211DOWNREAR</t>
  </si>
  <si>
    <t>211STA001</t>
  </si>
  <si>
    <t>211STA002</t>
  </si>
  <si>
    <t>에스컬레이터 1호기</t>
  </si>
  <si>
    <t>에스컬레이터 2호기</t>
  </si>
  <si>
    <t>에스컬레이터 3호기</t>
  </si>
  <si>
    <t>에스컬레이터 4호기</t>
  </si>
  <si>
    <t>에스컬레이터 5호기</t>
  </si>
  <si>
    <t>에스컬레이터 6호기</t>
  </si>
  <si>
    <t>에스컬레이터 7호기</t>
  </si>
  <si>
    <t>에스컬레이터 8호기</t>
  </si>
  <si>
    <t>에스컬레이터 9호기</t>
  </si>
  <si>
    <t>에스컬레이터 10호기</t>
  </si>
  <si>
    <t>에스컬레이터 11호기</t>
  </si>
  <si>
    <t>에스컬레이터 12호기</t>
  </si>
  <si>
    <t>에스컬레이터 13호기</t>
  </si>
  <si>
    <t>에스컬레이터 14호기</t>
  </si>
  <si>
    <t>에스컬레이터 15호기</t>
  </si>
  <si>
    <t>에스컬레이터 16호기</t>
  </si>
  <si>
    <t>에스컬레이터 17호기</t>
  </si>
  <si>
    <t>에스컬레이터 18호기</t>
  </si>
  <si>
    <t>엘리베이터 1호기(B1)</t>
  </si>
  <si>
    <t>엘리베이터 2호기(B1)</t>
  </si>
  <si>
    <t>엘리베이터 3호기(B1)</t>
  </si>
  <si>
    <t>엘리베이터 4호기(B1)</t>
  </si>
  <si>
    <t>엘리베이터 5호기</t>
  </si>
  <si>
    <t>엘리베이터 6호기</t>
  </si>
  <si>
    <t>엘리베이터 1호기(B3)</t>
  </si>
  <si>
    <t>엘리베이터 2호기(B3)</t>
  </si>
  <si>
    <t>엘리베이터 3호기(B3)</t>
  </si>
  <si>
    <t>엘리베이터 4호기(B3)</t>
  </si>
  <si>
    <t>1번출구</t>
  </si>
  <si>
    <t>2번출구</t>
  </si>
  <si>
    <t>3번출구</t>
  </si>
  <si>
    <t>4번출구</t>
  </si>
  <si>
    <t>5번출구</t>
  </si>
  <si>
    <t>6번출구</t>
  </si>
  <si>
    <t>7번출구</t>
  </si>
  <si>
    <t>8번출구</t>
  </si>
  <si>
    <t>6번출구 방면 남자화장실</t>
  </si>
  <si>
    <t>6번출구 방면 여자화장실</t>
  </si>
  <si>
    <t>5번출구 방면 남자화장실</t>
  </si>
  <si>
    <t>5번출구 방면 여자화장실</t>
  </si>
  <si>
    <t>상선 전부(검단오류 방면)</t>
  </si>
  <si>
    <t>상선 중앙(검단오류 방면)</t>
  </si>
  <si>
    <t>상선 후부(검단오류 방면)</t>
  </si>
  <si>
    <t>하선 전방(운연 방면)</t>
  </si>
  <si>
    <t>하선 중앙(운연 방면)</t>
  </si>
  <si>
    <t>하선 후부(운연 방면)</t>
  </si>
  <si>
    <t>대합실(1, 6, 7, 8번 출구 방면)</t>
  </si>
  <si>
    <t>대합실(2, 3, 4, 5번 출구 방면)</t>
  </si>
  <si>
    <t>가정역</t>
    <phoneticPr fontId="2" type="noConversion"/>
  </si>
  <si>
    <t>코드</t>
  </si>
  <si>
    <t>역이름</t>
    <phoneticPr fontId="2" type="noConversion"/>
  </si>
  <si>
    <t>구역코드</t>
  </si>
  <si>
    <t>211ZONE08</t>
  </si>
  <si>
    <t>211ZONE14</t>
  </si>
  <si>
    <t>211ZONE07</t>
  </si>
  <si>
    <t>211ZONE12</t>
  </si>
  <si>
    <t>211ZONE09</t>
  </si>
  <si>
    <t>211ZONE11</t>
  </si>
  <si>
    <t>211ZONE02</t>
  </si>
  <si>
    <t>211ZONE05</t>
  </si>
  <si>
    <t>211ZONE01</t>
  </si>
  <si>
    <t>211ZONE13</t>
  </si>
  <si>
    <t>211ZONE10</t>
  </si>
  <si>
    <t>211ZONE03</t>
  </si>
  <si>
    <t>211ZONE06</t>
  </si>
  <si>
    <t>211ZONE04</t>
  </si>
  <si>
    <t>역명</t>
    <phoneticPr fontId="2" type="noConversion"/>
  </si>
  <si>
    <t>검단오류역</t>
    <phoneticPr fontId="2" type="noConversion"/>
  </si>
  <si>
    <t>왕길역</t>
    <phoneticPr fontId="2" type="noConversion"/>
  </si>
  <si>
    <t>검단사거리역</t>
    <phoneticPr fontId="2" type="noConversion"/>
  </si>
  <si>
    <t>마전역</t>
    <phoneticPr fontId="2" type="noConversion"/>
  </si>
  <si>
    <t>완정역</t>
    <phoneticPr fontId="2" type="noConversion"/>
  </si>
  <si>
    <t>독정역</t>
    <phoneticPr fontId="2" type="noConversion"/>
  </si>
  <si>
    <t>검암역</t>
    <phoneticPr fontId="2" type="noConversion"/>
  </si>
  <si>
    <t>검바위역</t>
    <phoneticPr fontId="2" type="noConversion"/>
  </si>
  <si>
    <t>아시아드경기장역</t>
  </si>
  <si>
    <t>아시아드경기장역</t>
    <phoneticPr fontId="2" type="noConversion"/>
  </si>
  <si>
    <t>서해구청역</t>
    <phoneticPr fontId="2" type="noConversion"/>
  </si>
  <si>
    <t>가정역</t>
  </si>
  <si>
    <t>가정중앙시장역</t>
  </si>
  <si>
    <t>가정중앙시장역</t>
    <phoneticPr fontId="2" type="noConversion"/>
  </si>
  <si>
    <t>석남역</t>
    <phoneticPr fontId="2" type="noConversion"/>
  </si>
  <si>
    <t>서부여성회관역</t>
    <phoneticPr fontId="2" type="noConversion"/>
  </si>
  <si>
    <t>인천가좌역</t>
    <phoneticPr fontId="2" type="noConversion"/>
  </si>
  <si>
    <t>가재울역</t>
    <phoneticPr fontId="2" type="noConversion"/>
  </si>
  <si>
    <t>주안국가산단역</t>
    <phoneticPr fontId="2" type="noConversion"/>
  </si>
  <si>
    <t>주안역</t>
    <phoneticPr fontId="2" type="noConversion"/>
  </si>
  <si>
    <t>시민공원역</t>
    <phoneticPr fontId="2" type="noConversion"/>
  </si>
  <si>
    <t>석바위시장역</t>
    <phoneticPr fontId="2" type="noConversion"/>
  </si>
  <si>
    <t>인천시청역</t>
    <phoneticPr fontId="2" type="noConversion"/>
  </si>
  <si>
    <t>석천사거리역</t>
    <phoneticPr fontId="2" type="noConversion"/>
  </si>
  <si>
    <t>모래내시장역</t>
    <phoneticPr fontId="2" type="noConversion"/>
  </si>
  <si>
    <t>만수역</t>
    <phoneticPr fontId="2" type="noConversion"/>
  </si>
  <si>
    <t>남동구청역</t>
    <phoneticPr fontId="2" type="noConversion"/>
  </si>
  <si>
    <t>인천대공원역</t>
    <phoneticPr fontId="2" type="noConversion"/>
  </si>
  <si>
    <t>운연역</t>
    <phoneticPr fontId="2" type="noConversion"/>
  </si>
  <si>
    <t>역명 VLOOKUP용</t>
    <phoneticPr fontId="2" type="noConversion"/>
  </si>
  <si>
    <t>아시아드경기장역 에스컬레이터 1호기</t>
  </si>
  <si>
    <t>아시아드경기장역 에스컬레이터 2호기</t>
  </si>
  <si>
    <t>아시아드경기장역 에스컬레이터 3호기</t>
  </si>
  <si>
    <t>아시아드경기장역 에스컬레이터 4호기</t>
  </si>
  <si>
    <t>아시아드경기장역 에스컬레이터 5호기</t>
  </si>
  <si>
    <t>아시아드경기장역 에스컬레이터 6호기</t>
  </si>
  <si>
    <t>아시아드경기장역 에스컬레이터 7호기</t>
  </si>
  <si>
    <t>아시아드경기장역 에스컬레이터 8호기</t>
  </si>
  <si>
    <t>아시아드경기장역 4번 출구 방면 남자화장실</t>
  </si>
  <si>
    <t>아시아드경기장역 4번 출구 방면 여자화장실</t>
  </si>
  <si>
    <t>아시아드경기장역 엘리베이터 1호기(상선승강장)</t>
  </si>
  <si>
    <t>아시아드경기장역 엘리베이터 2호기(하선승강장)</t>
  </si>
  <si>
    <t>아시아드경기장역 1번 출구</t>
  </si>
  <si>
    <t>아시아드경기장역 2번 출구</t>
  </si>
  <si>
    <t>아시아드경기장역 3번 출구</t>
  </si>
  <si>
    <t>아시아드경기장역 4번 출구</t>
  </si>
  <si>
    <t>211EL001</t>
  </si>
  <si>
    <t>211EL002</t>
  </si>
  <si>
    <t>211EL003</t>
  </si>
  <si>
    <t>211EL004</t>
  </si>
  <si>
    <t>211EL005</t>
  </si>
  <si>
    <t>211EL006</t>
  </si>
  <si>
    <t>211EL007</t>
  </si>
  <si>
    <t>211EL008</t>
  </si>
  <si>
    <t>211EL009</t>
  </si>
  <si>
    <t>211EL010</t>
  </si>
  <si>
    <t>209ES001</t>
  </si>
  <si>
    <t>209ES002</t>
  </si>
  <si>
    <t>209ES003</t>
  </si>
  <si>
    <t>209ES004</t>
  </si>
  <si>
    <t>209ES005</t>
  </si>
  <si>
    <t>209ES006</t>
  </si>
  <si>
    <t>209ES007</t>
  </si>
  <si>
    <t>209ES008</t>
  </si>
  <si>
    <t>209TOILET4M</t>
  </si>
  <si>
    <t>209TOILET4W</t>
  </si>
  <si>
    <t>209EL001</t>
  </si>
  <si>
    <t>209EL002</t>
  </si>
  <si>
    <t>209EL003</t>
  </si>
  <si>
    <t>209EL004</t>
  </si>
  <si>
    <t>209EXIT001</t>
  </si>
  <si>
    <t>209EXIT002</t>
  </si>
  <si>
    <t>209EXIT003</t>
  </si>
  <si>
    <t>209EXIT004</t>
  </si>
  <si>
    <t>아시아드경기장역 엘리베이터 3호기(1, 2번 출구)</t>
  </si>
  <si>
    <t>아시아드경기장역 엘리베이터 3호기(1, 2번 출구)</t>
    <phoneticPr fontId="2" type="noConversion"/>
  </si>
  <si>
    <t>아시아드경기장역 엘리베이터 4호기(3, 4번 출구)</t>
  </si>
  <si>
    <t>아시아드경기장역 엘리베이터 4호기(3, 4번 출구)</t>
    <phoneticPr fontId="2" type="noConversion"/>
  </si>
  <si>
    <t>032-451-4309</t>
  </si>
  <si>
    <t>032-451-4309</t>
    <phoneticPr fontId="2" type="noConversion"/>
  </si>
  <si>
    <t>ES</t>
    <phoneticPr fontId="2" type="noConversion"/>
  </si>
  <si>
    <t>TOILET</t>
    <phoneticPr fontId="2" type="noConversion"/>
  </si>
  <si>
    <t>EL</t>
    <phoneticPr fontId="2" type="noConversion"/>
  </si>
  <si>
    <t>EXIT</t>
    <phoneticPr fontId="2" type="noConversion"/>
  </si>
  <si>
    <t>4M</t>
    <phoneticPr fontId="2" type="noConversion"/>
  </si>
  <si>
    <t>4W</t>
    <phoneticPr fontId="2" type="noConversion"/>
  </si>
  <si>
    <t>ZONE03</t>
  </si>
  <si>
    <t>ZONE04</t>
  </si>
  <si>
    <t>https://2line.pages.dev/?id=209ES001</t>
    <phoneticPr fontId="2" type="noConversion"/>
  </si>
  <si>
    <t>https://2line.pages.dev/?id=209ES002</t>
    <phoneticPr fontId="2" type="noConversion"/>
  </si>
  <si>
    <t>https://2line.pages.dev/?id=209ES003</t>
    <phoneticPr fontId="2" type="noConversion"/>
  </si>
  <si>
    <t>https://2line.pages.dev/?id=209ES004</t>
    <phoneticPr fontId="2" type="noConversion"/>
  </si>
  <si>
    <t>https://2line.pages.dev/?id=209ES005</t>
    <phoneticPr fontId="2" type="noConversion"/>
  </si>
  <si>
    <t>https://2line.pages.dev/?id=209ES006</t>
    <phoneticPr fontId="2" type="noConversion"/>
  </si>
  <si>
    <t>https://2line.pages.dev/?id=209ES007</t>
    <phoneticPr fontId="2" type="noConversion"/>
  </si>
  <si>
    <t>https://2line.pages.dev/?id=209ES008</t>
    <phoneticPr fontId="2" type="noConversion"/>
  </si>
  <si>
    <t>https://2line.pages.dev/?id=209TOILET4M</t>
    <phoneticPr fontId="2" type="noConversion"/>
  </si>
  <si>
    <t>https://2line.pages.dev/?id=209TOILET4W</t>
    <phoneticPr fontId="2" type="noConversion"/>
  </si>
  <si>
    <t>https://2line.pages.dev/?id=209EL001</t>
    <phoneticPr fontId="2" type="noConversion"/>
  </si>
  <si>
    <t>https://2line.pages.dev/?id=209EL002</t>
    <phoneticPr fontId="2" type="noConversion"/>
  </si>
  <si>
    <t>https://2line.pages.dev/?id=209EL003</t>
    <phoneticPr fontId="2" type="noConversion"/>
  </si>
  <si>
    <t>https://2line.pages.dev/?id=209EL004</t>
    <phoneticPr fontId="2" type="noConversion"/>
  </si>
  <si>
    <t>https://2line.pages.dev/?id=209EXIT001</t>
    <phoneticPr fontId="2" type="noConversion"/>
  </si>
  <si>
    <t>https://2line.pages.dev/?id=209EXIT002</t>
    <phoneticPr fontId="2" type="noConversion"/>
  </si>
  <si>
    <t>https://2line.pages.dev/?id=209EXIT003</t>
    <phoneticPr fontId="2" type="noConversion"/>
  </si>
  <si>
    <t>https://2line.pages.dev/?id=209EXIT004</t>
    <phoneticPr fontId="2" type="noConversion"/>
  </si>
  <si>
    <t>가정중앙시장역 에스컬레이터 1호기</t>
  </si>
  <si>
    <t>가정중앙시장역 에스컬레이터 1호기</t>
    <phoneticPr fontId="2" type="noConversion"/>
  </si>
  <si>
    <t>가정중앙시장역 에스컬레이터 2호기</t>
  </si>
  <si>
    <t>가정중앙시장역 에스컬레이터 3호기</t>
  </si>
  <si>
    <t>가정중앙시장역 에스컬레이터 4호기</t>
  </si>
  <si>
    <t>가정중앙시장역 에스컬레이터 5호기</t>
  </si>
  <si>
    <t>가정중앙시장역 에스컬레이터 6호기</t>
  </si>
  <si>
    <t>가정중앙시장역 엘리베이터 1호기</t>
  </si>
  <si>
    <t>가정중앙시장역 엘리베이터 1호기</t>
    <phoneticPr fontId="2" type="noConversion"/>
  </si>
  <si>
    <t>가정중앙시장역 엘리베이터 2호기</t>
  </si>
  <si>
    <t>가정중앙시장역 엘리베이터 3호기</t>
  </si>
  <si>
    <t>가정중앙시장역 엘리베이터 4호기</t>
  </si>
  <si>
    <t>가정중앙시장역 엘리베이터 5호기</t>
  </si>
  <si>
    <t>1M</t>
    <phoneticPr fontId="2" type="noConversion"/>
  </si>
  <si>
    <t>1W</t>
    <phoneticPr fontId="2" type="noConversion"/>
  </si>
  <si>
    <t>가정중앙시장역 남자화장실</t>
  </si>
  <si>
    <t>가정중앙시장역 남자화장실</t>
    <phoneticPr fontId="2" type="noConversion"/>
  </si>
  <si>
    <t>가정중앙시장역 여자화장실</t>
  </si>
  <si>
    <t>가정중앙시장역 여자화장실</t>
    <phoneticPr fontId="2" type="noConversion"/>
  </si>
  <si>
    <t>032-451-4312</t>
  </si>
  <si>
    <t>032-451-4312</t>
    <phoneticPr fontId="2" type="noConversion"/>
  </si>
  <si>
    <t>212ES001</t>
  </si>
  <si>
    <t>212ES002</t>
  </si>
  <si>
    <t>212ES003</t>
  </si>
  <si>
    <t>212ES004</t>
  </si>
  <si>
    <t>212ES005</t>
  </si>
  <si>
    <t>212ES006</t>
  </si>
  <si>
    <t>212EL001</t>
  </si>
  <si>
    <t>212EL002</t>
  </si>
  <si>
    <t>212EL003</t>
  </si>
  <si>
    <t>212EL004</t>
  </si>
  <si>
    <t>212EL005</t>
  </si>
  <si>
    <t>212TOILET1M</t>
  </si>
  <si>
    <t>212TOILET1W</t>
  </si>
  <si>
    <t>https://2line.pages.dev/?id=212ES001</t>
    <phoneticPr fontId="2" type="noConversion"/>
  </si>
  <si>
    <t>https://2line.pages.dev/?id=212ES002</t>
    <phoneticPr fontId="2" type="noConversion"/>
  </si>
  <si>
    <t>https://2line.pages.dev/?id=212ES003</t>
    <phoneticPr fontId="2" type="noConversion"/>
  </si>
  <si>
    <t>https://2line.pages.dev/?id=212ES004</t>
    <phoneticPr fontId="2" type="noConversion"/>
  </si>
  <si>
    <t>https://2line.pages.dev/?id=212ES005</t>
    <phoneticPr fontId="2" type="noConversion"/>
  </si>
  <si>
    <t>https://2line.pages.dev/?id=212ES006</t>
    <phoneticPr fontId="2" type="noConversion"/>
  </si>
  <si>
    <t>https://2line.pages.dev/?id=212EL001</t>
    <phoneticPr fontId="2" type="noConversion"/>
  </si>
  <si>
    <t>https://2line.pages.dev/?id=212EL002</t>
    <phoneticPr fontId="2" type="noConversion"/>
  </si>
  <si>
    <t>https://2line.pages.dev/?id=212EL003</t>
    <phoneticPr fontId="2" type="noConversion"/>
  </si>
  <si>
    <t>https://2line.pages.dev/?id=212EL004</t>
    <phoneticPr fontId="2" type="noConversion"/>
  </si>
  <si>
    <t>https://2line.pages.dev/?id=212EL005</t>
    <phoneticPr fontId="2" type="noConversion"/>
  </si>
  <si>
    <t>https://2line.pages.dev/?id=212TOILET1M</t>
    <phoneticPr fontId="2" type="noConversion"/>
  </si>
  <si>
    <t>https://2line.pages.dev/?id=212TOILET1W</t>
    <phoneticPr fontId="2" type="noConversion"/>
  </si>
  <si>
    <t>가정중앙시장역 1번 출구</t>
  </si>
  <si>
    <t>가정중앙시장역 1번 출구</t>
    <phoneticPr fontId="2" type="noConversion"/>
  </si>
  <si>
    <t>가정중앙시장역 2번 출구</t>
  </si>
  <si>
    <t>212EXIT001</t>
  </si>
  <si>
    <t>212EXIT002</t>
  </si>
  <si>
    <t>https://2line.pages.dev/?id=212EXIT001</t>
    <phoneticPr fontId="2" type="noConversion"/>
  </si>
  <si>
    <t>https://2line.pages.dev/?id=212EXIT002</t>
    <phoneticPr fontId="2" type="noConversion"/>
  </si>
  <si>
    <t>032-451-4311</t>
  </si>
  <si>
    <t>209ZONE05</t>
  </si>
  <si>
    <t>209ZONE03</t>
  </si>
  <si>
    <t>209ZONE07</t>
  </si>
  <si>
    <t>209ZONE01</t>
  </si>
  <si>
    <t>209ZONE02</t>
  </si>
  <si>
    <t>209ZONE04</t>
  </si>
  <si>
    <t>209ZONE06</t>
  </si>
  <si>
    <t>212ZONE05</t>
  </si>
  <si>
    <t>212ZONE03</t>
  </si>
  <si>
    <t>212ZONE07</t>
  </si>
  <si>
    <t>212ZONE01</t>
  </si>
  <si>
    <t>212ZONE04</t>
  </si>
  <si>
    <t>212ZONE06</t>
  </si>
  <si>
    <t>212ZONE02</t>
  </si>
  <si>
    <t>2번 출구</t>
    <phoneticPr fontId="2" type="noConversion"/>
  </si>
  <si>
    <t>3번 출구</t>
  </si>
  <si>
    <t>4번 출구</t>
  </si>
  <si>
    <t>1번 출구</t>
    <phoneticPr fontId="2" type="noConversion"/>
  </si>
  <si>
    <t>2번 출구</t>
  </si>
  <si>
    <t>화장실</t>
    <phoneticPr fontId="2" type="noConversion"/>
  </si>
  <si>
    <t>032-451-4310</t>
    <phoneticPr fontId="2" type="noConversion"/>
  </si>
  <si>
    <t>에스컬레이터 1호기</t>
    <phoneticPr fontId="2" type="noConversion"/>
  </si>
  <si>
    <t>엘리베이터 1호기</t>
    <phoneticPr fontId="2" type="noConversion"/>
  </si>
  <si>
    <t>엘리베이터 2호기</t>
  </si>
  <si>
    <t>엘리베이터 3호기</t>
  </si>
  <si>
    <t>엘리베이터 4호기</t>
  </si>
  <si>
    <t>https://2line.pages.dev/?id=210EXIT001</t>
    <phoneticPr fontId="2" type="noConversion"/>
  </si>
  <si>
    <t>https://2line.pages.dev/?id=210EXIT002</t>
    <phoneticPr fontId="2" type="noConversion"/>
  </si>
  <si>
    <t>https://2line.pages.dev/?id=210EXIT003</t>
    <phoneticPr fontId="2" type="noConversion"/>
  </si>
  <si>
    <t>https://2line.pages.dev/?id=210EXIT004</t>
    <phoneticPr fontId="2" type="noConversion"/>
  </si>
  <si>
    <t>https://2line.pages.dev/?id=210TOILET001</t>
    <phoneticPr fontId="2" type="noConversion"/>
  </si>
  <si>
    <t>https://2line.pages.dev/?id=210ES001</t>
    <phoneticPr fontId="2" type="noConversion"/>
  </si>
  <si>
    <t>https://2line.pages.dev/?id=210ES002</t>
    <phoneticPr fontId="2" type="noConversion"/>
  </si>
  <si>
    <t>https://2line.pages.dev/?id=210ES003</t>
    <phoneticPr fontId="2" type="noConversion"/>
  </si>
  <si>
    <t>https://2line.pages.dev/?id=210ES004</t>
    <phoneticPr fontId="2" type="noConversion"/>
  </si>
  <si>
    <t>https://2line.pages.dev/?id=210ES005</t>
    <phoneticPr fontId="2" type="noConversion"/>
  </si>
  <si>
    <t>https://2line.pages.dev/?id=210ES006</t>
    <phoneticPr fontId="2" type="noConversion"/>
  </si>
  <si>
    <t>https://2line.pages.dev/?id=210ES007</t>
    <phoneticPr fontId="2" type="noConversion"/>
  </si>
  <si>
    <t>https://2line.pages.dev/?id=210ES008</t>
    <phoneticPr fontId="2" type="noConversion"/>
  </si>
  <si>
    <t>https://2line.pages.dev/?id=210ES009</t>
    <phoneticPr fontId="2" type="noConversion"/>
  </si>
  <si>
    <t>https://2line.pages.dev/?id=210ES010</t>
    <phoneticPr fontId="2" type="noConversion"/>
  </si>
  <si>
    <t>https://2line.pages.dev/?id=210EL001</t>
    <phoneticPr fontId="2" type="noConversion"/>
  </si>
  <si>
    <t>https://2line.pages.dev/?id=210EL002</t>
    <phoneticPr fontId="2" type="noConversion"/>
  </si>
  <si>
    <t>https://2line.pages.dev/?id=210EL003</t>
    <phoneticPr fontId="2" type="noConversion"/>
  </si>
  <si>
    <t>https://2line.pages.dev/?id=210EL004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</si>
</sst>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3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>
      <alignment vertical="center"/>
    </xf>
    <xf numFmtId="0" fontId="0" fillId="2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2line.pages.dev/?id=211EV008" TargetMode="External"/><Relationship Id="rId21" Type="http://schemas.openxmlformats.org/officeDocument/2006/relationships/hyperlink" Target="https://2line.pages.dev/?id=211EV003" TargetMode="External"/><Relationship Id="rId42" Type="http://schemas.openxmlformats.org/officeDocument/2006/relationships/hyperlink" Target="https://2line.pages.dev/?id=211UPMID" TargetMode="External"/><Relationship Id="rId47" Type="http://schemas.openxmlformats.org/officeDocument/2006/relationships/hyperlink" Target="https://2line.pages.dev/?id=211STA001" TargetMode="External"/><Relationship Id="rId63" Type="http://schemas.openxmlformats.org/officeDocument/2006/relationships/hyperlink" Target="https://2line.pages.dev/?id=209EXIT001" TargetMode="External"/><Relationship Id="rId68" Type="http://schemas.openxmlformats.org/officeDocument/2006/relationships/hyperlink" Target="https://2line.pages.dev/?id=212ES002" TargetMode="External"/><Relationship Id="rId84" Type="http://schemas.openxmlformats.org/officeDocument/2006/relationships/hyperlink" Target="https://2line.pages.dev/?id=210EXIT003" TargetMode="External"/><Relationship Id="rId89" Type="http://schemas.openxmlformats.org/officeDocument/2006/relationships/hyperlink" Target="https://2line.pages.dev/?id=210ES003" TargetMode="External"/><Relationship Id="rId16" Type="http://schemas.openxmlformats.org/officeDocument/2006/relationships/hyperlink" Target="https://2line.pages.dev/?id=211ES016" TargetMode="External"/><Relationship Id="rId11" Type="http://schemas.openxmlformats.org/officeDocument/2006/relationships/hyperlink" Target="https://2line.pages.dev/?id=211ES011" TargetMode="External"/><Relationship Id="rId32" Type="http://schemas.openxmlformats.org/officeDocument/2006/relationships/hyperlink" Target="https://2line.pages.dev/?id=211EXIT004" TargetMode="External"/><Relationship Id="rId37" Type="http://schemas.openxmlformats.org/officeDocument/2006/relationships/hyperlink" Target="https://2line.pages.dev/?id=211TOILET6M" TargetMode="External"/><Relationship Id="rId53" Type="http://schemas.openxmlformats.org/officeDocument/2006/relationships/hyperlink" Target="https://2line.pages.dev/?id=209ES005" TargetMode="External"/><Relationship Id="rId58" Type="http://schemas.openxmlformats.org/officeDocument/2006/relationships/hyperlink" Target="https://2line.pages.dev/?id=209TOILET4W" TargetMode="External"/><Relationship Id="rId74" Type="http://schemas.openxmlformats.org/officeDocument/2006/relationships/hyperlink" Target="https://2line.pages.dev/?id=212EL002" TargetMode="External"/><Relationship Id="rId79" Type="http://schemas.openxmlformats.org/officeDocument/2006/relationships/hyperlink" Target="https://2line.pages.dev/?id=212TOILET1W" TargetMode="External"/><Relationship Id="rId5" Type="http://schemas.openxmlformats.org/officeDocument/2006/relationships/hyperlink" Target="https://2line.pages.dev/?id=211ES005" TargetMode="External"/><Relationship Id="rId90" Type="http://schemas.openxmlformats.org/officeDocument/2006/relationships/hyperlink" Target="https://2line.pages.dev/?id=210ES004" TargetMode="External"/><Relationship Id="rId95" Type="http://schemas.openxmlformats.org/officeDocument/2006/relationships/hyperlink" Target="https://2line.pages.dev/?id=210ES009" TargetMode="External"/><Relationship Id="rId22" Type="http://schemas.openxmlformats.org/officeDocument/2006/relationships/hyperlink" Target="https://2line.pages.dev/?id=211EV004" TargetMode="External"/><Relationship Id="rId27" Type="http://schemas.openxmlformats.org/officeDocument/2006/relationships/hyperlink" Target="https://2line.pages.dev/?id=211EV009" TargetMode="External"/><Relationship Id="rId43" Type="http://schemas.openxmlformats.org/officeDocument/2006/relationships/hyperlink" Target="https://2line.pages.dev/?id=211UPREAR" TargetMode="External"/><Relationship Id="rId48" Type="http://schemas.openxmlformats.org/officeDocument/2006/relationships/hyperlink" Target="https://2line.pages.dev/?id=211STA002" TargetMode="External"/><Relationship Id="rId64" Type="http://schemas.openxmlformats.org/officeDocument/2006/relationships/hyperlink" Target="https://2line.pages.dev/?id=209EXIT002" TargetMode="External"/><Relationship Id="rId69" Type="http://schemas.openxmlformats.org/officeDocument/2006/relationships/hyperlink" Target="https://2line.pages.dev/?id=212ES003" TargetMode="External"/><Relationship Id="rId80" Type="http://schemas.openxmlformats.org/officeDocument/2006/relationships/hyperlink" Target="https://2line.pages.dev/?id=212EXIT001" TargetMode="External"/><Relationship Id="rId85" Type="http://schemas.openxmlformats.org/officeDocument/2006/relationships/hyperlink" Target="https://2line.pages.dev/?id=210EXIT004" TargetMode="External"/><Relationship Id="rId12" Type="http://schemas.openxmlformats.org/officeDocument/2006/relationships/hyperlink" Target="https://2line.pages.dev/?id=211ES012" TargetMode="External"/><Relationship Id="rId17" Type="http://schemas.openxmlformats.org/officeDocument/2006/relationships/hyperlink" Target="https://2line.pages.dev/?id=211ES017" TargetMode="External"/><Relationship Id="rId25" Type="http://schemas.openxmlformats.org/officeDocument/2006/relationships/hyperlink" Target="https://2line.pages.dev/?id=211EV007" TargetMode="External"/><Relationship Id="rId33" Type="http://schemas.openxmlformats.org/officeDocument/2006/relationships/hyperlink" Target="https://2line.pages.dev/?id=211EXIT005" TargetMode="External"/><Relationship Id="rId38" Type="http://schemas.openxmlformats.org/officeDocument/2006/relationships/hyperlink" Target="https://2line.pages.dev/?id=211TOILET6W" TargetMode="External"/><Relationship Id="rId46" Type="http://schemas.openxmlformats.org/officeDocument/2006/relationships/hyperlink" Target="https://2line.pages.dev/?id=211DOWNREAR" TargetMode="External"/><Relationship Id="rId59" Type="http://schemas.openxmlformats.org/officeDocument/2006/relationships/hyperlink" Target="https://2line.pages.dev/?id=209EL001" TargetMode="External"/><Relationship Id="rId67" Type="http://schemas.openxmlformats.org/officeDocument/2006/relationships/hyperlink" Target="https://2line.pages.dev/?id=212ES001" TargetMode="External"/><Relationship Id="rId20" Type="http://schemas.openxmlformats.org/officeDocument/2006/relationships/hyperlink" Target="https://2line.pages.dev/?id=211EV002" TargetMode="External"/><Relationship Id="rId41" Type="http://schemas.openxmlformats.org/officeDocument/2006/relationships/hyperlink" Target="https://2line.pages.dev/?id=211UPFRONT" TargetMode="External"/><Relationship Id="rId54" Type="http://schemas.openxmlformats.org/officeDocument/2006/relationships/hyperlink" Target="https://2line.pages.dev/?id=209ES006" TargetMode="External"/><Relationship Id="rId62" Type="http://schemas.openxmlformats.org/officeDocument/2006/relationships/hyperlink" Target="https://2line.pages.dev/?id=209EL004" TargetMode="External"/><Relationship Id="rId70" Type="http://schemas.openxmlformats.org/officeDocument/2006/relationships/hyperlink" Target="https://2line.pages.dev/?id=212ES004" TargetMode="External"/><Relationship Id="rId75" Type="http://schemas.openxmlformats.org/officeDocument/2006/relationships/hyperlink" Target="https://2line.pages.dev/?id=212EL003" TargetMode="External"/><Relationship Id="rId83" Type="http://schemas.openxmlformats.org/officeDocument/2006/relationships/hyperlink" Target="https://2line.pages.dev/?id=210EXIT002" TargetMode="External"/><Relationship Id="rId88" Type="http://schemas.openxmlformats.org/officeDocument/2006/relationships/hyperlink" Target="https://2line.pages.dev/?id=210ES002" TargetMode="External"/><Relationship Id="rId91" Type="http://schemas.openxmlformats.org/officeDocument/2006/relationships/hyperlink" Target="https://2line.pages.dev/?id=210ES005" TargetMode="External"/><Relationship Id="rId96" Type="http://schemas.openxmlformats.org/officeDocument/2006/relationships/hyperlink" Target="https://2line.pages.dev/?id=210ES010" TargetMode="External"/><Relationship Id="rId1" Type="http://schemas.openxmlformats.org/officeDocument/2006/relationships/hyperlink" Target="https://2line.pages.dev/?id=211ES001" TargetMode="External"/><Relationship Id="rId6" Type="http://schemas.openxmlformats.org/officeDocument/2006/relationships/hyperlink" Target="https://2line.pages.dev/?id=211ES006" TargetMode="External"/><Relationship Id="rId15" Type="http://schemas.openxmlformats.org/officeDocument/2006/relationships/hyperlink" Target="https://2line.pages.dev/?id=211ES015" TargetMode="External"/><Relationship Id="rId23" Type="http://schemas.openxmlformats.org/officeDocument/2006/relationships/hyperlink" Target="https://2line.pages.dev/?id=211EV005" TargetMode="External"/><Relationship Id="rId28" Type="http://schemas.openxmlformats.org/officeDocument/2006/relationships/hyperlink" Target="https://2line.pages.dev/?id=211EV010" TargetMode="External"/><Relationship Id="rId36" Type="http://schemas.openxmlformats.org/officeDocument/2006/relationships/hyperlink" Target="https://2line.pages.dev/?id=211EXIT008" TargetMode="External"/><Relationship Id="rId49" Type="http://schemas.openxmlformats.org/officeDocument/2006/relationships/hyperlink" Target="https://2line.pages.dev/?id=209ES001" TargetMode="External"/><Relationship Id="rId57" Type="http://schemas.openxmlformats.org/officeDocument/2006/relationships/hyperlink" Target="https://2line.pages.dev/?id=209TOILET4M" TargetMode="External"/><Relationship Id="rId10" Type="http://schemas.openxmlformats.org/officeDocument/2006/relationships/hyperlink" Target="https://2line.pages.dev/?id=211ES010" TargetMode="External"/><Relationship Id="rId31" Type="http://schemas.openxmlformats.org/officeDocument/2006/relationships/hyperlink" Target="https://2line.pages.dev/?id=211EXIT003" TargetMode="External"/><Relationship Id="rId44" Type="http://schemas.openxmlformats.org/officeDocument/2006/relationships/hyperlink" Target="https://2line.pages.dev/?id=211DOWNFRONT" TargetMode="External"/><Relationship Id="rId52" Type="http://schemas.openxmlformats.org/officeDocument/2006/relationships/hyperlink" Target="https://2line.pages.dev/?id=209ES004" TargetMode="External"/><Relationship Id="rId60" Type="http://schemas.openxmlformats.org/officeDocument/2006/relationships/hyperlink" Target="https://2line.pages.dev/?id=209EL002" TargetMode="External"/><Relationship Id="rId65" Type="http://schemas.openxmlformats.org/officeDocument/2006/relationships/hyperlink" Target="https://2line.pages.dev/?id=209EXIT003" TargetMode="External"/><Relationship Id="rId73" Type="http://schemas.openxmlformats.org/officeDocument/2006/relationships/hyperlink" Target="https://2line.pages.dev/?id=212EL001" TargetMode="External"/><Relationship Id="rId78" Type="http://schemas.openxmlformats.org/officeDocument/2006/relationships/hyperlink" Target="https://2line.pages.dev/?id=212TOILET1M" TargetMode="External"/><Relationship Id="rId81" Type="http://schemas.openxmlformats.org/officeDocument/2006/relationships/hyperlink" Target="https://2line.pages.dev/?id=212EXIT002" TargetMode="External"/><Relationship Id="rId86" Type="http://schemas.openxmlformats.org/officeDocument/2006/relationships/hyperlink" Target="https://2line.pages.dev/?id=210TOILET001" TargetMode="External"/><Relationship Id="rId94" Type="http://schemas.openxmlformats.org/officeDocument/2006/relationships/hyperlink" Target="https://2line.pages.dev/?id=210ES008" TargetMode="External"/><Relationship Id="rId99" Type="http://schemas.openxmlformats.org/officeDocument/2006/relationships/hyperlink" Target="https://2line.pages.dev/?id=210EL003" TargetMode="External"/><Relationship Id="rId101" Type="http://schemas.openxmlformats.org/officeDocument/2006/relationships/printerSettings" Target="../printerSettings/printerSettings1.bin"/><Relationship Id="rId4" Type="http://schemas.openxmlformats.org/officeDocument/2006/relationships/hyperlink" Target="https://2line.pages.dev/?id=211ES004" TargetMode="External"/><Relationship Id="rId9" Type="http://schemas.openxmlformats.org/officeDocument/2006/relationships/hyperlink" Target="https://2line.pages.dev/?id=211ES009" TargetMode="External"/><Relationship Id="rId13" Type="http://schemas.openxmlformats.org/officeDocument/2006/relationships/hyperlink" Target="https://2line.pages.dev/?id=211ES013" TargetMode="External"/><Relationship Id="rId18" Type="http://schemas.openxmlformats.org/officeDocument/2006/relationships/hyperlink" Target="https://2line.pages.dev/?id=211ES018" TargetMode="External"/><Relationship Id="rId39" Type="http://schemas.openxmlformats.org/officeDocument/2006/relationships/hyperlink" Target="https://2line.pages.dev/?id=211TOILET5M" TargetMode="External"/><Relationship Id="rId34" Type="http://schemas.openxmlformats.org/officeDocument/2006/relationships/hyperlink" Target="https://2line.pages.dev/?id=211EXIT006" TargetMode="External"/><Relationship Id="rId50" Type="http://schemas.openxmlformats.org/officeDocument/2006/relationships/hyperlink" Target="https://2line.pages.dev/?id=209ES002" TargetMode="External"/><Relationship Id="rId55" Type="http://schemas.openxmlformats.org/officeDocument/2006/relationships/hyperlink" Target="https://2line.pages.dev/?id=209ES007" TargetMode="External"/><Relationship Id="rId76" Type="http://schemas.openxmlformats.org/officeDocument/2006/relationships/hyperlink" Target="https://2line.pages.dev/?id=212EL004" TargetMode="External"/><Relationship Id="rId97" Type="http://schemas.openxmlformats.org/officeDocument/2006/relationships/hyperlink" Target="https://2line.pages.dev/?id=210EL001" TargetMode="External"/><Relationship Id="rId7" Type="http://schemas.openxmlformats.org/officeDocument/2006/relationships/hyperlink" Target="https://2line.pages.dev/?id=211ES007" TargetMode="External"/><Relationship Id="rId71" Type="http://schemas.openxmlformats.org/officeDocument/2006/relationships/hyperlink" Target="https://2line.pages.dev/?id=212ES005" TargetMode="External"/><Relationship Id="rId92" Type="http://schemas.openxmlformats.org/officeDocument/2006/relationships/hyperlink" Target="https://2line.pages.dev/?id=210ES006" TargetMode="External"/><Relationship Id="rId2" Type="http://schemas.openxmlformats.org/officeDocument/2006/relationships/hyperlink" Target="https://2line.pages.dev/?id=211ES002" TargetMode="External"/><Relationship Id="rId29" Type="http://schemas.openxmlformats.org/officeDocument/2006/relationships/hyperlink" Target="https://2line.pages.dev/?id=211EXIT001" TargetMode="External"/><Relationship Id="rId24" Type="http://schemas.openxmlformats.org/officeDocument/2006/relationships/hyperlink" Target="https://2line.pages.dev/?id=211EV006" TargetMode="External"/><Relationship Id="rId40" Type="http://schemas.openxmlformats.org/officeDocument/2006/relationships/hyperlink" Target="https://2line.pages.dev/?id=211TOILET5W" TargetMode="External"/><Relationship Id="rId45" Type="http://schemas.openxmlformats.org/officeDocument/2006/relationships/hyperlink" Target="https://2line.pages.dev/?id=211DOWNMID" TargetMode="External"/><Relationship Id="rId66" Type="http://schemas.openxmlformats.org/officeDocument/2006/relationships/hyperlink" Target="https://2line.pages.dev/?id=209EXIT004" TargetMode="External"/><Relationship Id="rId87" Type="http://schemas.openxmlformats.org/officeDocument/2006/relationships/hyperlink" Target="https://2line.pages.dev/?id=210ES001" TargetMode="External"/><Relationship Id="rId61" Type="http://schemas.openxmlformats.org/officeDocument/2006/relationships/hyperlink" Target="https://2line.pages.dev/?id=209EL003" TargetMode="External"/><Relationship Id="rId82" Type="http://schemas.openxmlformats.org/officeDocument/2006/relationships/hyperlink" Target="https://2line.pages.dev/?id=210EXIT001" TargetMode="External"/><Relationship Id="rId19" Type="http://schemas.openxmlformats.org/officeDocument/2006/relationships/hyperlink" Target="https://2line.pages.dev/?id=211EV001" TargetMode="External"/><Relationship Id="rId14" Type="http://schemas.openxmlformats.org/officeDocument/2006/relationships/hyperlink" Target="https://2line.pages.dev/?id=211ES014" TargetMode="External"/><Relationship Id="rId30" Type="http://schemas.openxmlformats.org/officeDocument/2006/relationships/hyperlink" Target="https://2line.pages.dev/?id=211EXIT002" TargetMode="External"/><Relationship Id="rId35" Type="http://schemas.openxmlformats.org/officeDocument/2006/relationships/hyperlink" Target="https://2line.pages.dev/?id=211EXIT007" TargetMode="External"/><Relationship Id="rId56" Type="http://schemas.openxmlformats.org/officeDocument/2006/relationships/hyperlink" Target="https://2line.pages.dev/?id=209ES008" TargetMode="External"/><Relationship Id="rId77" Type="http://schemas.openxmlformats.org/officeDocument/2006/relationships/hyperlink" Target="https://2line.pages.dev/?id=212EL005" TargetMode="External"/><Relationship Id="rId100" Type="http://schemas.openxmlformats.org/officeDocument/2006/relationships/hyperlink" Target="https://2line.pages.dev/?id=210EL004" TargetMode="External"/><Relationship Id="rId8" Type="http://schemas.openxmlformats.org/officeDocument/2006/relationships/hyperlink" Target="https://2line.pages.dev/?id=211ES008" TargetMode="External"/><Relationship Id="rId51" Type="http://schemas.openxmlformats.org/officeDocument/2006/relationships/hyperlink" Target="https://2line.pages.dev/?id=209ES003" TargetMode="External"/><Relationship Id="rId72" Type="http://schemas.openxmlformats.org/officeDocument/2006/relationships/hyperlink" Target="https://2line.pages.dev/?id=212ES006" TargetMode="External"/><Relationship Id="rId93" Type="http://schemas.openxmlformats.org/officeDocument/2006/relationships/hyperlink" Target="https://2line.pages.dev/?id=210ES007" TargetMode="External"/><Relationship Id="rId98" Type="http://schemas.openxmlformats.org/officeDocument/2006/relationships/hyperlink" Target="https://2line.pages.dev/?id=210EL002" TargetMode="External"/><Relationship Id="rId3" Type="http://schemas.openxmlformats.org/officeDocument/2006/relationships/hyperlink" Target="https://2line.pages.dev/?id=211ES00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56557-3AEA-41A3-9863-FC7FAA63B0F4}">
  <dimension ref="A1:X101"/>
  <sheetViews>
    <sheetView tabSelected="1" zoomScale="85" zoomScaleNormal="85" workbookViewId="0">
      <selection activeCell="H1" sqref="H1"/>
    </sheetView>
  </sheetViews>
  <sheetFormatPr defaultRowHeight="16.5" x14ac:dyDescent="0.3"/>
  <cols>
    <col min="1" max="1" width="5.25" style="1" bestFit="1" customWidth="1"/>
    <col min="2" max="2" width="7.125" style="1" bestFit="1" customWidth="1"/>
    <col min="3" max="3" width="7.5" style="1" bestFit="1" customWidth="1"/>
    <col min="4" max="4" width="9" style="2" bestFit="1" customWidth="1"/>
    <col min="5" max="5" width="8.5" style="1" bestFit="1" customWidth="1"/>
    <col min="6" max="6" width="17.25" style="1" bestFit="1" customWidth="1"/>
    <col min="7" max="7" width="17.125" style="2" bestFit="1" customWidth="1"/>
    <col min="8" max="8" width="46" style="1" bestFit="1" customWidth="1"/>
    <col min="9" max="9" width="13.375" style="1" bestFit="1" customWidth="1"/>
    <col min="10" max="10" width="11.625" style="1" bestFit="1" customWidth="1"/>
    <col min="11" max="11" width="60.25" style="1" bestFit="1" customWidth="1"/>
    <col min="12" max="12" width="43.25" style="1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5" t="s">
        <v>195</v>
      </c>
      <c r="G1" s="6" t="s">
        <v>5</v>
      </c>
      <c r="H1" s="5" t="s">
        <v>7</v>
      </c>
      <c r="I1" s="5" t="s">
        <v>8</v>
      </c>
      <c r="J1" s="5" t="s">
        <v>6</v>
      </c>
      <c r="K1" s="1" t="s">
        <v>90</v>
      </c>
      <c r="L1" s="1" t="s">
        <v>85</v>
      </c>
      <c r="M1" s="1"/>
    </row>
    <row r="2" spans="1:24" x14ac:dyDescent="0.3">
      <c r="A2" s="1">
        <f>ROW()-1</f>
        <v>1</v>
      </c>
      <c r="B2" s="1">
        <v>211</v>
      </c>
      <c r="C2" s="1" t="s">
        <v>9</v>
      </c>
      <c r="D2" s="2">
        <v>1</v>
      </c>
      <c r="E2" s="1" t="s">
        <v>10</v>
      </c>
      <c r="F2" s="1" t="str">
        <f>VLOOKUP(B2,Sheet2!$G$2:$H$28,2,FALSE)</f>
        <v>가정역</v>
      </c>
      <c r="G2" s="2" t="str">
        <f>B2&amp;C2&amp;TEXT(D2,"000")</f>
        <v>211ES001</v>
      </c>
      <c r="H2" s="1" t="s">
        <v>129</v>
      </c>
      <c r="I2" s="1" t="s">
        <v>11</v>
      </c>
      <c r="J2" s="1" t="str">
        <f t="shared" ref="J2:J49" si="0">B2&amp;E2</f>
        <v>211ZONE08</v>
      </c>
      <c r="K2" s="1" t="str">
        <f>"https://2line.pages.dev/?id="&amp;G2&amp;","&amp;G2</f>
        <v>https://2line.pages.dev/?id=211ES001,211ES001</v>
      </c>
      <c r="L2" s="3" t="s">
        <v>41</v>
      </c>
      <c r="M2" s="3"/>
    </row>
    <row r="3" spans="1:24" x14ac:dyDescent="0.3">
      <c r="A3" s="1">
        <f t="shared" ref="A3:A66" si="1">ROW()-1</f>
        <v>2</v>
      </c>
      <c r="B3" s="1">
        <v>211</v>
      </c>
      <c r="C3" s="1" t="s">
        <v>9</v>
      </c>
      <c r="D3" s="2">
        <v>2</v>
      </c>
      <c r="E3" s="1" t="s">
        <v>12</v>
      </c>
      <c r="F3" s="1" t="str">
        <f>VLOOKUP(B3,Sheet2!$G$2:$H$28,2,FALSE)</f>
        <v>가정역</v>
      </c>
      <c r="G3" s="2" t="str">
        <f t="shared" ref="G3:G66" si="2">B3&amp;C3&amp;TEXT(D3,"000")</f>
        <v>211ES002</v>
      </c>
      <c r="H3" s="1" t="s">
        <v>130</v>
      </c>
      <c r="I3" s="1" t="s">
        <v>11</v>
      </c>
      <c r="J3" s="1" t="str">
        <f t="shared" si="0"/>
        <v>211ZONE14</v>
      </c>
      <c r="K3" s="1" t="str">
        <f t="shared" ref="K3:K66" si="3">"https://2line.pages.dev/?id="&amp;G3&amp;","&amp;G3</f>
        <v>https://2line.pages.dev/?id=211ES002,211ES002</v>
      </c>
      <c r="L3" s="3" t="s">
        <v>42</v>
      </c>
      <c r="M3" s="3"/>
    </row>
    <row r="4" spans="1:24" x14ac:dyDescent="0.3">
      <c r="A4" s="1">
        <f t="shared" si="1"/>
        <v>3</v>
      </c>
      <c r="B4" s="1">
        <v>211</v>
      </c>
      <c r="C4" s="1" t="s">
        <v>9</v>
      </c>
      <c r="D4" s="2">
        <v>3</v>
      </c>
      <c r="E4" s="1" t="s">
        <v>13</v>
      </c>
      <c r="F4" s="1" t="str">
        <f>VLOOKUP(B4,Sheet2!$G$2:$H$28,2,FALSE)</f>
        <v>가정역</v>
      </c>
      <c r="G4" s="2" t="str">
        <f t="shared" si="2"/>
        <v>211ES003</v>
      </c>
      <c r="H4" s="1" t="s">
        <v>131</v>
      </c>
      <c r="I4" s="1" t="s">
        <v>11</v>
      </c>
      <c r="J4" s="1" t="str">
        <f t="shared" si="0"/>
        <v>211ZONE07</v>
      </c>
      <c r="K4" s="1" t="str">
        <f t="shared" si="3"/>
        <v>https://2line.pages.dev/?id=211ES003,211ES003</v>
      </c>
      <c r="L4" s="3" t="s">
        <v>43</v>
      </c>
      <c r="M4" s="3"/>
    </row>
    <row r="5" spans="1:24" x14ac:dyDescent="0.3">
      <c r="A5" s="1">
        <f t="shared" si="1"/>
        <v>4</v>
      </c>
      <c r="B5" s="1">
        <v>211</v>
      </c>
      <c r="C5" s="1" t="s">
        <v>9</v>
      </c>
      <c r="D5" s="2">
        <v>4</v>
      </c>
      <c r="E5" s="1" t="s">
        <v>14</v>
      </c>
      <c r="F5" s="1" t="str">
        <f>VLOOKUP(B5,Sheet2!$G$2:$H$28,2,FALSE)</f>
        <v>가정역</v>
      </c>
      <c r="G5" s="2" t="str">
        <f t="shared" si="2"/>
        <v>211ES004</v>
      </c>
      <c r="H5" s="1" t="s">
        <v>132</v>
      </c>
      <c r="I5" s="1" t="s">
        <v>11</v>
      </c>
      <c r="J5" s="1" t="str">
        <f t="shared" si="0"/>
        <v>211ZONE12</v>
      </c>
      <c r="K5" s="1" t="str">
        <f t="shared" si="3"/>
        <v>https://2line.pages.dev/?id=211ES004,211ES004</v>
      </c>
      <c r="L5" s="3" t="s">
        <v>44</v>
      </c>
      <c r="M5" s="3"/>
    </row>
    <row r="6" spans="1:24" x14ac:dyDescent="0.3">
      <c r="A6" s="1">
        <f t="shared" si="1"/>
        <v>5</v>
      </c>
      <c r="B6" s="1">
        <v>211</v>
      </c>
      <c r="C6" s="1" t="s">
        <v>9</v>
      </c>
      <c r="D6" s="2">
        <v>5</v>
      </c>
      <c r="E6" s="1" t="s">
        <v>13</v>
      </c>
      <c r="F6" s="1" t="str">
        <f>VLOOKUP(B6,Sheet2!$G$2:$H$28,2,FALSE)</f>
        <v>가정역</v>
      </c>
      <c r="G6" s="2" t="str">
        <f t="shared" si="2"/>
        <v>211ES005</v>
      </c>
      <c r="H6" s="1" t="s">
        <v>133</v>
      </c>
      <c r="I6" s="1" t="s">
        <v>11</v>
      </c>
      <c r="J6" s="1" t="str">
        <f t="shared" si="0"/>
        <v>211ZONE07</v>
      </c>
      <c r="K6" s="1" t="str">
        <f t="shared" si="3"/>
        <v>https://2line.pages.dev/?id=211ES005,211ES005</v>
      </c>
      <c r="L6" s="3" t="s">
        <v>45</v>
      </c>
      <c r="M6" s="3"/>
    </row>
    <row r="7" spans="1:24" x14ac:dyDescent="0.3">
      <c r="A7" s="1">
        <f t="shared" si="1"/>
        <v>6</v>
      </c>
      <c r="B7" s="1">
        <v>211</v>
      </c>
      <c r="C7" s="1" t="s">
        <v>9</v>
      </c>
      <c r="D7" s="2">
        <v>6</v>
      </c>
      <c r="E7" s="1" t="s">
        <v>15</v>
      </c>
      <c r="F7" s="1" t="str">
        <f>VLOOKUP(B7,Sheet2!$G$2:$H$28,2,FALSE)</f>
        <v>가정역</v>
      </c>
      <c r="G7" s="2" t="str">
        <f t="shared" si="2"/>
        <v>211ES006</v>
      </c>
      <c r="H7" s="1" t="s">
        <v>134</v>
      </c>
      <c r="I7" s="1" t="s">
        <v>11</v>
      </c>
      <c r="J7" s="1" t="str">
        <f t="shared" si="0"/>
        <v>211ZONE09</v>
      </c>
      <c r="K7" s="1" t="str">
        <f t="shared" si="3"/>
        <v>https://2line.pages.dev/?id=211ES006,211ES006</v>
      </c>
      <c r="L7" s="3" t="s">
        <v>46</v>
      </c>
      <c r="M7" s="3"/>
      <c r="X7" s="4"/>
    </row>
    <row r="8" spans="1:24" x14ac:dyDescent="0.3">
      <c r="A8" s="1">
        <f t="shared" si="1"/>
        <v>7</v>
      </c>
      <c r="B8" s="1">
        <v>211</v>
      </c>
      <c r="C8" s="1" t="s">
        <v>9</v>
      </c>
      <c r="D8" s="2">
        <v>7</v>
      </c>
      <c r="E8" s="1" t="s">
        <v>10</v>
      </c>
      <c r="F8" s="1" t="str">
        <f>VLOOKUP(B8,Sheet2!$G$2:$H$28,2,FALSE)</f>
        <v>가정역</v>
      </c>
      <c r="G8" s="2" t="str">
        <f t="shared" si="2"/>
        <v>211ES007</v>
      </c>
      <c r="H8" s="1" t="s">
        <v>135</v>
      </c>
      <c r="I8" s="1" t="s">
        <v>11</v>
      </c>
      <c r="J8" s="1" t="str">
        <f t="shared" si="0"/>
        <v>211ZONE08</v>
      </c>
      <c r="K8" s="1" t="str">
        <f t="shared" si="3"/>
        <v>https://2line.pages.dev/?id=211ES007,211ES007</v>
      </c>
      <c r="L8" s="3" t="s">
        <v>47</v>
      </c>
      <c r="M8" s="3"/>
    </row>
    <row r="9" spans="1:24" x14ac:dyDescent="0.3">
      <c r="A9" s="1">
        <f t="shared" si="1"/>
        <v>8</v>
      </c>
      <c r="B9" s="1">
        <v>211</v>
      </c>
      <c r="C9" s="1" t="s">
        <v>9</v>
      </c>
      <c r="D9" s="2">
        <v>8</v>
      </c>
      <c r="E9" s="1" t="s">
        <v>16</v>
      </c>
      <c r="F9" s="1" t="str">
        <f>VLOOKUP(B9,Sheet2!$G$2:$H$28,2,FALSE)</f>
        <v>가정역</v>
      </c>
      <c r="G9" s="2" t="str">
        <f t="shared" si="2"/>
        <v>211ES008</v>
      </c>
      <c r="H9" s="1" t="s">
        <v>136</v>
      </c>
      <c r="I9" s="1" t="s">
        <v>11</v>
      </c>
      <c r="J9" s="1" t="str">
        <f t="shared" si="0"/>
        <v>211ZONE11</v>
      </c>
      <c r="K9" s="1" t="str">
        <f t="shared" si="3"/>
        <v>https://2line.pages.dev/?id=211ES008,211ES008</v>
      </c>
      <c r="L9" s="3" t="s">
        <v>48</v>
      </c>
      <c r="M9" s="3"/>
    </row>
    <row r="10" spans="1:24" x14ac:dyDescent="0.3">
      <c r="A10" s="1">
        <f t="shared" si="1"/>
        <v>9</v>
      </c>
      <c r="B10" s="1">
        <v>211</v>
      </c>
      <c r="C10" s="1" t="s">
        <v>9</v>
      </c>
      <c r="D10" s="2">
        <v>9</v>
      </c>
      <c r="E10" s="1" t="s">
        <v>10</v>
      </c>
      <c r="F10" s="1" t="str">
        <f>VLOOKUP(B10,Sheet2!$G$2:$H$28,2,FALSE)</f>
        <v>가정역</v>
      </c>
      <c r="G10" s="2" t="str">
        <f t="shared" si="2"/>
        <v>211ES009</v>
      </c>
      <c r="H10" s="1" t="s">
        <v>137</v>
      </c>
      <c r="I10" s="1" t="s">
        <v>11</v>
      </c>
      <c r="J10" s="1" t="str">
        <f t="shared" si="0"/>
        <v>211ZONE08</v>
      </c>
      <c r="K10" s="1" t="str">
        <f t="shared" si="3"/>
        <v>https://2line.pages.dev/?id=211ES009,211ES009</v>
      </c>
      <c r="L10" s="3" t="s">
        <v>49</v>
      </c>
      <c r="M10" s="3"/>
    </row>
    <row r="11" spans="1:24" x14ac:dyDescent="0.3">
      <c r="A11" s="1">
        <f t="shared" si="1"/>
        <v>10</v>
      </c>
      <c r="B11" s="1">
        <v>211</v>
      </c>
      <c r="C11" s="1" t="s">
        <v>9</v>
      </c>
      <c r="D11" s="2">
        <v>10</v>
      </c>
      <c r="E11" s="1" t="s">
        <v>10</v>
      </c>
      <c r="F11" s="1" t="str">
        <f>VLOOKUP(B11,Sheet2!$G$2:$H$28,2,FALSE)</f>
        <v>가정역</v>
      </c>
      <c r="G11" s="2" t="str">
        <f t="shared" si="2"/>
        <v>211ES010</v>
      </c>
      <c r="H11" s="1" t="s">
        <v>138</v>
      </c>
      <c r="I11" s="1" t="s">
        <v>11</v>
      </c>
      <c r="J11" s="1" t="str">
        <f t="shared" si="0"/>
        <v>211ZONE08</v>
      </c>
      <c r="K11" s="1" t="str">
        <f t="shared" si="3"/>
        <v>https://2line.pages.dev/?id=211ES010,211ES010</v>
      </c>
      <c r="L11" s="3" t="s">
        <v>50</v>
      </c>
      <c r="M11" s="3"/>
    </row>
    <row r="12" spans="1:24" x14ac:dyDescent="0.3">
      <c r="A12" s="1">
        <f t="shared" si="1"/>
        <v>11</v>
      </c>
      <c r="B12" s="1">
        <v>211</v>
      </c>
      <c r="C12" s="1" t="s">
        <v>9</v>
      </c>
      <c r="D12" s="2">
        <v>11</v>
      </c>
      <c r="E12" s="1" t="s">
        <v>13</v>
      </c>
      <c r="F12" s="1" t="str">
        <f>VLOOKUP(B12,Sheet2!$G$2:$H$28,2,FALSE)</f>
        <v>가정역</v>
      </c>
      <c r="G12" s="2" t="str">
        <f t="shared" si="2"/>
        <v>211ES011</v>
      </c>
      <c r="H12" s="1" t="s">
        <v>139</v>
      </c>
      <c r="I12" s="1" t="s">
        <v>11</v>
      </c>
      <c r="J12" s="1" t="str">
        <f t="shared" si="0"/>
        <v>211ZONE07</v>
      </c>
      <c r="K12" s="1" t="str">
        <f t="shared" si="3"/>
        <v>https://2line.pages.dev/?id=211ES011,211ES011</v>
      </c>
      <c r="L12" s="3" t="s">
        <v>51</v>
      </c>
      <c r="M12" s="3"/>
    </row>
    <row r="13" spans="1:24" x14ac:dyDescent="0.3">
      <c r="A13" s="1">
        <f t="shared" si="1"/>
        <v>12</v>
      </c>
      <c r="B13" s="1">
        <v>211</v>
      </c>
      <c r="C13" s="1" t="s">
        <v>9</v>
      </c>
      <c r="D13" s="2">
        <v>12</v>
      </c>
      <c r="E13" s="1" t="s">
        <v>13</v>
      </c>
      <c r="F13" s="1" t="str">
        <f>VLOOKUP(B13,Sheet2!$G$2:$H$28,2,FALSE)</f>
        <v>가정역</v>
      </c>
      <c r="G13" s="2" t="str">
        <f t="shared" si="2"/>
        <v>211ES012</v>
      </c>
      <c r="H13" s="1" t="s">
        <v>140</v>
      </c>
      <c r="I13" s="1" t="s">
        <v>11</v>
      </c>
      <c r="J13" s="1" t="str">
        <f t="shared" si="0"/>
        <v>211ZONE07</v>
      </c>
      <c r="K13" s="1" t="str">
        <f t="shared" si="3"/>
        <v>https://2line.pages.dev/?id=211ES012,211ES012</v>
      </c>
      <c r="L13" s="3" t="s">
        <v>52</v>
      </c>
      <c r="M13" s="3"/>
    </row>
    <row r="14" spans="1:24" x14ac:dyDescent="0.3">
      <c r="A14" s="1">
        <f t="shared" si="1"/>
        <v>13</v>
      </c>
      <c r="B14" s="1">
        <v>211</v>
      </c>
      <c r="C14" s="1" t="s">
        <v>9</v>
      </c>
      <c r="D14" s="2">
        <v>13</v>
      </c>
      <c r="E14" s="1" t="s">
        <v>17</v>
      </c>
      <c r="F14" s="1" t="str">
        <f>VLOOKUP(B14,Sheet2!$G$2:$H$28,2,FALSE)</f>
        <v>가정역</v>
      </c>
      <c r="G14" s="2" t="str">
        <f t="shared" si="2"/>
        <v>211ES013</v>
      </c>
      <c r="H14" s="1" t="s">
        <v>141</v>
      </c>
      <c r="I14" s="1" t="s">
        <v>11</v>
      </c>
      <c r="J14" s="1" t="str">
        <f t="shared" si="0"/>
        <v>211ZONE02</v>
      </c>
      <c r="K14" s="1" t="str">
        <f t="shared" si="3"/>
        <v>https://2line.pages.dev/?id=211ES013,211ES013</v>
      </c>
      <c r="L14" s="3" t="s">
        <v>53</v>
      </c>
      <c r="M14" s="3"/>
    </row>
    <row r="15" spans="1:24" x14ac:dyDescent="0.3">
      <c r="A15" s="1">
        <f t="shared" si="1"/>
        <v>14</v>
      </c>
      <c r="B15" s="1">
        <v>211</v>
      </c>
      <c r="C15" s="1" t="s">
        <v>9</v>
      </c>
      <c r="D15" s="2">
        <v>14</v>
      </c>
      <c r="E15" s="1" t="s">
        <v>17</v>
      </c>
      <c r="F15" s="1" t="str">
        <f>VLOOKUP(B15,Sheet2!$G$2:$H$28,2,FALSE)</f>
        <v>가정역</v>
      </c>
      <c r="G15" s="2" t="str">
        <f t="shared" si="2"/>
        <v>211ES014</v>
      </c>
      <c r="H15" s="1" t="s">
        <v>142</v>
      </c>
      <c r="I15" s="1" t="s">
        <v>11</v>
      </c>
      <c r="J15" s="1" t="str">
        <f t="shared" si="0"/>
        <v>211ZONE02</v>
      </c>
      <c r="K15" s="1" t="str">
        <f t="shared" si="3"/>
        <v>https://2line.pages.dev/?id=211ES014,211ES014</v>
      </c>
      <c r="L15" s="3" t="s">
        <v>54</v>
      </c>
      <c r="M15" s="3"/>
    </row>
    <row r="16" spans="1:24" x14ac:dyDescent="0.3">
      <c r="A16" s="1">
        <f t="shared" si="1"/>
        <v>15</v>
      </c>
      <c r="B16" s="1">
        <v>211</v>
      </c>
      <c r="C16" s="1" t="s">
        <v>9</v>
      </c>
      <c r="D16" s="2">
        <v>15</v>
      </c>
      <c r="E16" s="1" t="s">
        <v>18</v>
      </c>
      <c r="F16" s="1" t="str">
        <f>VLOOKUP(B16,Sheet2!$G$2:$H$28,2,FALSE)</f>
        <v>가정역</v>
      </c>
      <c r="G16" s="2" t="str">
        <f t="shared" si="2"/>
        <v>211ES015</v>
      </c>
      <c r="H16" s="1" t="s">
        <v>143</v>
      </c>
      <c r="I16" s="1" t="s">
        <v>11</v>
      </c>
      <c r="J16" s="1" t="str">
        <f t="shared" si="0"/>
        <v>211ZONE05</v>
      </c>
      <c r="K16" s="1" t="str">
        <f t="shared" si="3"/>
        <v>https://2line.pages.dev/?id=211ES015,211ES015</v>
      </c>
      <c r="L16" s="3" t="s">
        <v>55</v>
      </c>
      <c r="M16" s="3"/>
    </row>
    <row r="17" spans="1:13" x14ac:dyDescent="0.3">
      <c r="A17" s="1">
        <f t="shared" si="1"/>
        <v>16</v>
      </c>
      <c r="B17" s="1">
        <v>211</v>
      </c>
      <c r="C17" s="1" t="s">
        <v>9</v>
      </c>
      <c r="D17" s="2">
        <v>16</v>
      </c>
      <c r="E17" s="1" t="s">
        <v>18</v>
      </c>
      <c r="F17" s="1" t="str">
        <f>VLOOKUP(B17,Sheet2!$G$2:$H$28,2,FALSE)</f>
        <v>가정역</v>
      </c>
      <c r="G17" s="2" t="str">
        <f t="shared" si="2"/>
        <v>211ES016</v>
      </c>
      <c r="H17" s="1" t="s">
        <v>144</v>
      </c>
      <c r="I17" s="1" t="s">
        <v>11</v>
      </c>
      <c r="J17" s="1" t="str">
        <f t="shared" si="0"/>
        <v>211ZONE05</v>
      </c>
      <c r="K17" s="1" t="str">
        <f t="shared" si="3"/>
        <v>https://2line.pages.dev/?id=211ES016,211ES016</v>
      </c>
      <c r="L17" s="3" t="s">
        <v>56</v>
      </c>
      <c r="M17" s="3"/>
    </row>
    <row r="18" spans="1:13" x14ac:dyDescent="0.3">
      <c r="A18" s="1">
        <f t="shared" si="1"/>
        <v>17</v>
      </c>
      <c r="B18" s="1">
        <v>211</v>
      </c>
      <c r="C18" s="1" t="s">
        <v>9</v>
      </c>
      <c r="D18" s="2">
        <v>17</v>
      </c>
      <c r="E18" s="1" t="s">
        <v>19</v>
      </c>
      <c r="F18" s="1" t="str">
        <f>VLOOKUP(B18,Sheet2!$G$2:$H$28,2,FALSE)</f>
        <v>가정역</v>
      </c>
      <c r="G18" s="2" t="str">
        <f t="shared" si="2"/>
        <v>211ES017</v>
      </c>
      <c r="H18" s="1" t="s">
        <v>145</v>
      </c>
      <c r="I18" s="1" t="s">
        <v>11</v>
      </c>
      <c r="J18" s="1" t="str">
        <f t="shared" si="0"/>
        <v>211ZONE01</v>
      </c>
      <c r="K18" s="1" t="str">
        <f t="shared" si="3"/>
        <v>https://2line.pages.dev/?id=211ES017,211ES017</v>
      </c>
      <c r="L18" s="3" t="s">
        <v>57</v>
      </c>
      <c r="M18" s="3"/>
    </row>
    <row r="19" spans="1:13" x14ac:dyDescent="0.3">
      <c r="A19" s="1">
        <f t="shared" si="1"/>
        <v>18</v>
      </c>
      <c r="B19" s="1">
        <v>211</v>
      </c>
      <c r="C19" s="1" t="s">
        <v>9</v>
      </c>
      <c r="D19" s="2">
        <v>18</v>
      </c>
      <c r="E19" s="1" t="s">
        <v>19</v>
      </c>
      <c r="F19" s="1" t="str">
        <f>VLOOKUP(B19,Sheet2!$G$2:$H$28,2,FALSE)</f>
        <v>가정역</v>
      </c>
      <c r="G19" s="2" t="str">
        <f t="shared" si="2"/>
        <v>211ES018</v>
      </c>
      <c r="H19" s="1" t="s">
        <v>146</v>
      </c>
      <c r="I19" s="1" t="s">
        <v>11</v>
      </c>
      <c r="J19" s="1" t="str">
        <f t="shared" si="0"/>
        <v>211ZONE01</v>
      </c>
      <c r="K19" s="1" t="str">
        <f t="shared" si="3"/>
        <v>https://2line.pages.dev/?id=211ES018,211ES018</v>
      </c>
      <c r="L19" s="3" t="s">
        <v>58</v>
      </c>
      <c r="M19" s="3"/>
    </row>
    <row r="20" spans="1:13" x14ac:dyDescent="0.3">
      <c r="A20" s="1">
        <f t="shared" si="1"/>
        <v>19</v>
      </c>
      <c r="B20" s="1">
        <v>211</v>
      </c>
      <c r="C20" s="1" t="s">
        <v>278</v>
      </c>
      <c r="D20" s="2">
        <v>1</v>
      </c>
      <c r="E20" s="1" t="s">
        <v>17</v>
      </c>
      <c r="F20" s="1" t="str">
        <f>VLOOKUP(B20,Sheet2!$G$2:$H$28,2,FALSE)</f>
        <v>가정역</v>
      </c>
      <c r="G20" s="2" t="str">
        <f t="shared" si="2"/>
        <v>211EL001</v>
      </c>
      <c r="H20" s="1" t="s">
        <v>147</v>
      </c>
      <c r="I20" s="1" t="s">
        <v>11</v>
      </c>
      <c r="J20" s="1" t="str">
        <f t="shared" si="0"/>
        <v>211ZONE02</v>
      </c>
      <c r="K20" s="1" t="str">
        <f t="shared" si="3"/>
        <v>https://2line.pages.dev/?id=211EL001,211EL001</v>
      </c>
      <c r="L20" s="3" t="s">
        <v>59</v>
      </c>
      <c r="M20" s="3"/>
    </row>
    <row r="21" spans="1:13" x14ac:dyDescent="0.3">
      <c r="A21" s="1">
        <f t="shared" si="1"/>
        <v>20</v>
      </c>
      <c r="B21" s="1">
        <v>211</v>
      </c>
      <c r="C21" s="1" t="s">
        <v>278</v>
      </c>
      <c r="D21" s="2">
        <v>2</v>
      </c>
      <c r="E21" s="1" t="s">
        <v>18</v>
      </c>
      <c r="F21" s="1" t="str">
        <f>VLOOKUP(B21,Sheet2!$G$2:$H$28,2,FALSE)</f>
        <v>가정역</v>
      </c>
      <c r="G21" s="2" t="str">
        <f t="shared" si="2"/>
        <v>211EL002</v>
      </c>
      <c r="H21" s="1" t="s">
        <v>148</v>
      </c>
      <c r="I21" s="1" t="s">
        <v>11</v>
      </c>
      <c r="J21" s="1" t="str">
        <f t="shared" si="0"/>
        <v>211ZONE05</v>
      </c>
      <c r="K21" s="1" t="str">
        <f t="shared" si="3"/>
        <v>https://2line.pages.dev/?id=211EL002,211EL002</v>
      </c>
      <c r="L21" s="3" t="s">
        <v>60</v>
      </c>
      <c r="M21" s="3"/>
    </row>
    <row r="22" spans="1:13" x14ac:dyDescent="0.3">
      <c r="A22" s="1">
        <f t="shared" si="1"/>
        <v>21</v>
      </c>
      <c r="B22" s="1">
        <v>211</v>
      </c>
      <c r="C22" s="1" t="s">
        <v>278</v>
      </c>
      <c r="D22" s="2">
        <v>3</v>
      </c>
      <c r="E22" s="1" t="s">
        <v>18</v>
      </c>
      <c r="F22" s="1" t="str">
        <f>VLOOKUP(B22,Sheet2!$G$2:$H$28,2,FALSE)</f>
        <v>가정역</v>
      </c>
      <c r="G22" s="2" t="str">
        <f t="shared" si="2"/>
        <v>211EL003</v>
      </c>
      <c r="H22" s="1" t="s">
        <v>149</v>
      </c>
      <c r="I22" s="1" t="s">
        <v>11</v>
      </c>
      <c r="J22" s="1" t="str">
        <f t="shared" si="0"/>
        <v>211ZONE05</v>
      </c>
      <c r="K22" s="1" t="str">
        <f t="shared" si="3"/>
        <v>https://2line.pages.dev/?id=211EL003,211EL003</v>
      </c>
      <c r="L22" s="3" t="s">
        <v>61</v>
      </c>
      <c r="M22" s="3"/>
    </row>
    <row r="23" spans="1:13" x14ac:dyDescent="0.3">
      <c r="A23" s="1">
        <f t="shared" si="1"/>
        <v>22</v>
      </c>
      <c r="B23" s="1">
        <v>211</v>
      </c>
      <c r="C23" s="1" t="s">
        <v>278</v>
      </c>
      <c r="D23" s="2">
        <v>4</v>
      </c>
      <c r="E23" s="1" t="s">
        <v>17</v>
      </c>
      <c r="F23" s="1" t="str">
        <f>VLOOKUP(B23,Sheet2!$G$2:$H$28,2,FALSE)</f>
        <v>가정역</v>
      </c>
      <c r="G23" s="2" t="str">
        <f t="shared" si="2"/>
        <v>211EL004</v>
      </c>
      <c r="H23" s="1" t="s">
        <v>150</v>
      </c>
      <c r="I23" s="1" t="s">
        <v>11</v>
      </c>
      <c r="J23" s="1" t="str">
        <f t="shared" si="0"/>
        <v>211ZONE02</v>
      </c>
      <c r="K23" s="1" t="str">
        <f t="shared" si="3"/>
        <v>https://2line.pages.dev/?id=211EL004,211EL004</v>
      </c>
      <c r="L23" s="3" t="s">
        <v>62</v>
      </c>
      <c r="M23" s="3"/>
    </row>
    <row r="24" spans="1:13" x14ac:dyDescent="0.3">
      <c r="A24" s="1">
        <f t="shared" si="1"/>
        <v>23</v>
      </c>
      <c r="B24" s="1">
        <v>211</v>
      </c>
      <c r="C24" s="1" t="s">
        <v>278</v>
      </c>
      <c r="D24" s="2">
        <v>5</v>
      </c>
      <c r="E24" s="1" t="s">
        <v>17</v>
      </c>
      <c r="F24" s="1" t="str">
        <f>VLOOKUP(B24,Sheet2!$G$2:$H$28,2,FALSE)</f>
        <v>가정역</v>
      </c>
      <c r="G24" s="2" t="str">
        <f t="shared" si="2"/>
        <v>211EL005</v>
      </c>
      <c r="H24" s="1" t="s">
        <v>151</v>
      </c>
      <c r="I24" s="1" t="s">
        <v>11</v>
      </c>
      <c r="J24" s="1" t="str">
        <f t="shared" si="0"/>
        <v>211ZONE02</v>
      </c>
      <c r="K24" s="1" t="str">
        <f t="shared" si="3"/>
        <v>https://2line.pages.dev/?id=211EL005,211EL005</v>
      </c>
      <c r="L24" s="3" t="s">
        <v>63</v>
      </c>
      <c r="M24" s="3"/>
    </row>
    <row r="25" spans="1:13" x14ac:dyDescent="0.3">
      <c r="A25" s="1">
        <f t="shared" si="1"/>
        <v>24</v>
      </c>
      <c r="B25" s="1">
        <v>211</v>
      </c>
      <c r="C25" s="1" t="s">
        <v>278</v>
      </c>
      <c r="D25" s="2">
        <v>6</v>
      </c>
      <c r="E25" s="1" t="s">
        <v>17</v>
      </c>
      <c r="F25" s="1" t="str">
        <f>VLOOKUP(B25,Sheet2!$G$2:$H$28,2,FALSE)</f>
        <v>가정역</v>
      </c>
      <c r="G25" s="2" t="str">
        <f t="shared" si="2"/>
        <v>211EL006</v>
      </c>
      <c r="H25" s="1" t="s">
        <v>152</v>
      </c>
      <c r="I25" s="1" t="s">
        <v>11</v>
      </c>
      <c r="J25" s="1" t="str">
        <f t="shared" si="0"/>
        <v>211ZONE02</v>
      </c>
      <c r="K25" s="1" t="str">
        <f t="shared" si="3"/>
        <v>https://2line.pages.dev/?id=211EL006,211EL006</v>
      </c>
      <c r="L25" s="3" t="s">
        <v>64</v>
      </c>
      <c r="M25" s="3"/>
    </row>
    <row r="26" spans="1:13" x14ac:dyDescent="0.3">
      <c r="A26" s="1">
        <f t="shared" si="1"/>
        <v>25</v>
      </c>
      <c r="B26" s="1">
        <v>211</v>
      </c>
      <c r="C26" s="1" t="s">
        <v>278</v>
      </c>
      <c r="D26" s="2">
        <v>7</v>
      </c>
      <c r="E26" s="1" t="s">
        <v>20</v>
      </c>
      <c r="F26" s="1" t="str">
        <f>VLOOKUP(B26,Sheet2!$G$2:$H$28,2,FALSE)</f>
        <v>가정역</v>
      </c>
      <c r="G26" s="2" t="str">
        <f t="shared" si="2"/>
        <v>211EL007</v>
      </c>
      <c r="H26" s="1" t="s">
        <v>153</v>
      </c>
      <c r="I26" s="1" t="s">
        <v>11</v>
      </c>
      <c r="J26" s="1" t="str">
        <f t="shared" si="0"/>
        <v>211ZONE13</v>
      </c>
      <c r="K26" s="1" t="str">
        <f t="shared" si="3"/>
        <v>https://2line.pages.dev/?id=211EL007,211EL007</v>
      </c>
      <c r="L26" s="3" t="s">
        <v>86</v>
      </c>
      <c r="M26" s="3"/>
    </row>
    <row r="27" spans="1:13" x14ac:dyDescent="0.3">
      <c r="A27" s="1">
        <f t="shared" si="1"/>
        <v>26</v>
      </c>
      <c r="B27" s="1">
        <v>211</v>
      </c>
      <c r="C27" s="1" t="s">
        <v>278</v>
      </c>
      <c r="D27" s="2">
        <v>8</v>
      </c>
      <c r="E27" s="1" t="s">
        <v>20</v>
      </c>
      <c r="F27" s="1" t="str">
        <f>VLOOKUP(B27,Sheet2!$G$2:$H$28,2,FALSE)</f>
        <v>가정역</v>
      </c>
      <c r="G27" s="2" t="str">
        <f t="shared" si="2"/>
        <v>211EL008</v>
      </c>
      <c r="H27" s="1" t="s">
        <v>154</v>
      </c>
      <c r="I27" s="1" t="s">
        <v>11</v>
      </c>
      <c r="J27" s="1" t="str">
        <f t="shared" si="0"/>
        <v>211ZONE13</v>
      </c>
      <c r="K27" s="1" t="str">
        <f t="shared" si="3"/>
        <v>https://2line.pages.dev/?id=211EL008,211EL008</v>
      </c>
      <c r="L27" s="3" t="s">
        <v>87</v>
      </c>
      <c r="M27" s="3"/>
    </row>
    <row r="28" spans="1:13" x14ac:dyDescent="0.3">
      <c r="A28" s="1">
        <f t="shared" si="1"/>
        <v>27</v>
      </c>
      <c r="B28" s="1">
        <v>211</v>
      </c>
      <c r="C28" s="1" t="s">
        <v>278</v>
      </c>
      <c r="D28" s="2">
        <v>9</v>
      </c>
      <c r="E28" s="1" t="s">
        <v>21</v>
      </c>
      <c r="F28" s="1" t="str">
        <f>VLOOKUP(B28,Sheet2!$G$2:$H$28,2,FALSE)</f>
        <v>가정역</v>
      </c>
      <c r="G28" s="2" t="str">
        <f t="shared" si="2"/>
        <v>211EL009</v>
      </c>
      <c r="H28" s="1" t="s">
        <v>155</v>
      </c>
      <c r="I28" s="1" t="s">
        <v>11</v>
      </c>
      <c r="J28" s="1" t="str">
        <f t="shared" si="0"/>
        <v>211ZONE10</v>
      </c>
      <c r="K28" s="1" t="str">
        <f t="shared" si="3"/>
        <v>https://2line.pages.dev/?id=211EL009,211EL009</v>
      </c>
      <c r="L28" s="3" t="s">
        <v>88</v>
      </c>
      <c r="M28" s="3"/>
    </row>
    <row r="29" spans="1:13" x14ac:dyDescent="0.3">
      <c r="A29" s="1">
        <f t="shared" si="1"/>
        <v>28</v>
      </c>
      <c r="B29" s="1">
        <v>211</v>
      </c>
      <c r="C29" s="1" t="s">
        <v>278</v>
      </c>
      <c r="D29" s="2">
        <v>10</v>
      </c>
      <c r="E29" s="1" t="s">
        <v>21</v>
      </c>
      <c r="F29" s="1" t="str">
        <f>VLOOKUP(B29,Sheet2!$G$2:$H$28,2,FALSE)</f>
        <v>가정역</v>
      </c>
      <c r="G29" s="2" t="str">
        <f t="shared" si="2"/>
        <v>211EL010</v>
      </c>
      <c r="H29" s="1" t="s">
        <v>156</v>
      </c>
      <c r="I29" s="1" t="s">
        <v>11</v>
      </c>
      <c r="J29" s="1" t="str">
        <f t="shared" si="0"/>
        <v>211ZONE10</v>
      </c>
      <c r="K29" s="1" t="str">
        <f t="shared" si="3"/>
        <v>https://2line.pages.dev/?id=211EL010,211EL010</v>
      </c>
      <c r="L29" s="3" t="s">
        <v>89</v>
      </c>
      <c r="M29" s="3"/>
    </row>
    <row r="30" spans="1:13" x14ac:dyDescent="0.3">
      <c r="A30" s="1">
        <f t="shared" si="1"/>
        <v>29</v>
      </c>
      <c r="B30" s="1">
        <v>211</v>
      </c>
      <c r="C30" s="1" t="s">
        <v>22</v>
      </c>
      <c r="D30" s="2">
        <v>1</v>
      </c>
      <c r="E30" s="1" t="s">
        <v>23</v>
      </c>
      <c r="F30" s="1" t="str">
        <f>VLOOKUP(B30,Sheet2!$G$2:$H$28,2,FALSE)</f>
        <v>가정역</v>
      </c>
      <c r="G30" s="2" t="str">
        <f t="shared" si="2"/>
        <v>211EXIT001</v>
      </c>
      <c r="H30" s="1" t="s">
        <v>157</v>
      </c>
      <c r="I30" s="1" t="s">
        <v>11</v>
      </c>
      <c r="J30" s="1" t="str">
        <f t="shared" si="0"/>
        <v>211ZONE03</v>
      </c>
      <c r="K30" s="1" t="str">
        <f t="shared" si="3"/>
        <v>https://2line.pages.dev/?id=211EXIT001,211EXIT001</v>
      </c>
      <c r="L30" s="3" t="s">
        <v>65</v>
      </c>
      <c r="M30" s="3"/>
    </row>
    <row r="31" spans="1:13" x14ac:dyDescent="0.3">
      <c r="A31" s="1">
        <f t="shared" si="1"/>
        <v>30</v>
      </c>
      <c r="B31" s="1">
        <v>211</v>
      </c>
      <c r="C31" s="1" t="s">
        <v>22</v>
      </c>
      <c r="D31" s="2">
        <v>2</v>
      </c>
      <c r="E31" s="1" t="s">
        <v>24</v>
      </c>
      <c r="F31" s="1" t="str">
        <f>VLOOKUP(B31,Sheet2!$G$2:$H$28,2,FALSE)</f>
        <v>가정역</v>
      </c>
      <c r="G31" s="2" t="str">
        <f t="shared" si="2"/>
        <v>211EXIT002</v>
      </c>
      <c r="H31" s="1" t="s">
        <v>158</v>
      </c>
      <c r="I31" s="1" t="s">
        <v>11</v>
      </c>
      <c r="J31" s="1" t="str">
        <f t="shared" si="0"/>
        <v>211ZONE06</v>
      </c>
      <c r="K31" s="1" t="str">
        <f t="shared" si="3"/>
        <v>https://2line.pages.dev/?id=211EXIT002,211EXIT002</v>
      </c>
      <c r="L31" s="3" t="s">
        <v>66</v>
      </c>
      <c r="M31" s="3"/>
    </row>
    <row r="32" spans="1:13" x14ac:dyDescent="0.3">
      <c r="A32" s="1">
        <f t="shared" si="1"/>
        <v>31</v>
      </c>
      <c r="B32" s="1">
        <v>211</v>
      </c>
      <c r="C32" s="1" t="s">
        <v>22</v>
      </c>
      <c r="D32" s="2">
        <v>3</v>
      </c>
      <c r="E32" s="1" t="s">
        <v>24</v>
      </c>
      <c r="F32" s="1" t="str">
        <f>VLOOKUP(B32,Sheet2!$G$2:$H$28,2,FALSE)</f>
        <v>가정역</v>
      </c>
      <c r="G32" s="2" t="str">
        <f t="shared" si="2"/>
        <v>211EXIT003</v>
      </c>
      <c r="H32" s="1" t="s">
        <v>159</v>
      </c>
      <c r="I32" s="1" t="s">
        <v>11</v>
      </c>
      <c r="J32" s="1" t="str">
        <f t="shared" si="0"/>
        <v>211ZONE06</v>
      </c>
      <c r="K32" s="1" t="str">
        <f t="shared" si="3"/>
        <v>https://2line.pages.dev/?id=211EXIT003,211EXIT003</v>
      </c>
      <c r="L32" s="3" t="s">
        <v>67</v>
      </c>
      <c r="M32" s="3"/>
    </row>
    <row r="33" spans="1:13" x14ac:dyDescent="0.3">
      <c r="A33" s="1">
        <f t="shared" si="1"/>
        <v>32</v>
      </c>
      <c r="B33" s="1">
        <v>211</v>
      </c>
      <c r="C33" s="1" t="s">
        <v>22</v>
      </c>
      <c r="D33" s="2">
        <v>4</v>
      </c>
      <c r="E33" s="1" t="s">
        <v>25</v>
      </c>
      <c r="F33" s="1" t="str">
        <f>VLOOKUP(B33,Sheet2!$G$2:$H$28,2,FALSE)</f>
        <v>가정역</v>
      </c>
      <c r="G33" s="2" t="str">
        <f t="shared" si="2"/>
        <v>211EXIT004</v>
      </c>
      <c r="H33" s="1" t="s">
        <v>160</v>
      </c>
      <c r="I33" s="1" t="s">
        <v>11</v>
      </c>
      <c r="J33" s="1" t="str">
        <f t="shared" si="0"/>
        <v>211ZONE04</v>
      </c>
      <c r="K33" s="1" t="str">
        <f t="shared" si="3"/>
        <v>https://2line.pages.dev/?id=211EXIT004,211EXIT004</v>
      </c>
      <c r="L33" s="3" t="s">
        <v>68</v>
      </c>
      <c r="M33" s="3"/>
    </row>
    <row r="34" spans="1:13" x14ac:dyDescent="0.3">
      <c r="A34" s="1">
        <f t="shared" si="1"/>
        <v>33</v>
      </c>
      <c r="B34" s="1">
        <v>211</v>
      </c>
      <c r="C34" s="1" t="s">
        <v>22</v>
      </c>
      <c r="D34" s="2">
        <v>5</v>
      </c>
      <c r="E34" s="1" t="s">
        <v>25</v>
      </c>
      <c r="F34" s="1" t="str">
        <f>VLOOKUP(B34,Sheet2!$G$2:$H$28,2,FALSE)</f>
        <v>가정역</v>
      </c>
      <c r="G34" s="2" t="str">
        <f t="shared" si="2"/>
        <v>211EXIT005</v>
      </c>
      <c r="H34" s="1" t="s">
        <v>161</v>
      </c>
      <c r="I34" s="1" t="s">
        <v>11</v>
      </c>
      <c r="J34" s="1" t="str">
        <f t="shared" si="0"/>
        <v>211ZONE04</v>
      </c>
      <c r="K34" s="1" t="str">
        <f t="shared" si="3"/>
        <v>https://2line.pages.dev/?id=211EXIT005,211EXIT005</v>
      </c>
      <c r="L34" s="3" t="s">
        <v>69</v>
      </c>
      <c r="M34" s="3"/>
    </row>
    <row r="35" spans="1:13" x14ac:dyDescent="0.3">
      <c r="A35" s="1">
        <f t="shared" si="1"/>
        <v>34</v>
      </c>
      <c r="B35" s="1">
        <v>211</v>
      </c>
      <c r="C35" s="1" t="s">
        <v>22</v>
      </c>
      <c r="D35" s="2">
        <v>6</v>
      </c>
      <c r="E35" s="1" t="s">
        <v>19</v>
      </c>
      <c r="F35" s="1" t="str">
        <f>VLOOKUP(B35,Sheet2!$G$2:$H$28,2,FALSE)</f>
        <v>가정역</v>
      </c>
      <c r="G35" s="2" t="str">
        <f t="shared" si="2"/>
        <v>211EXIT006</v>
      </c>
      <c r="H35" s="1" t="s">
        <v>162</v>
      </c>
      <c r="I35" s="1" t="s">
        <v>11</v>
      </c>
      <c r="J35" s="1" t="str">
        <f t="shared" si="0"/>
        <v>211ZONE01</v>
      </c>
      <c r="K35" s="1" t="str">
        <f t="shared" si="3"/>
        <v>https://2line.pages.dev/?id=211EXIT006,211EXIT006</v>
      </c>
      <c r="L35" s="3" t="s">
        <v>70</v>
      </c>
      <c r="M35" s="3"/>
    </row>
    <row r="36" spans="1:13" x14ac:dyDescent="0.3">
      <c r="A36" s="1">
        <f t="shared" si="1"/>
        <v>35</v>
      </c>
      <c r="B36" s="1">
        <v>211</v>
      </c>
      <c r="C36" s="1" t="s">
        <v>22</v>
      </c>
      <c r="D36" s="2">
        <v>7</v>
      </c>
      <c r="E36" s="1" t="s">
        <v>19</v>
      </c>
      <c r="F36" s="1" t="str">
        <f>VLOOKUP(B36,Sheet2!$G$2:$H$28,2,FALSE)</f>
        <v>가정역</v>
      </c>
      <c r="G36" s="2" t="str">
        <f t="shared" si="2"/>
        <v>211EXIT007</v>
      </c>
      <c r="H36" s="1" t="s">
        <v>163</v>
      </c>
      <c r="I36" s="1" t="s">
        <v>11</v>
      </c>
      <c r="J36" s="1" t="str">
        <f t="shared" si="0"/>
        <v>211ZONE01</v>
      </c>
      <c r="K36" s="1" t="str">
        <f t="shared" si="3"/>
        <v>https://2line.pages.dev/?id=211EXIT007,211EXIT007</v>
      </c>
      <c r="L36" s="3" t="s">
        <v>71</v>
      </c>
      <c r="M36" s="3"/>
    </row>
    <row r="37" spans="1:13" x14ac:dyDescent="0.3">
      <c r="A37" s="1">
        <f t="shared" si="1"/>
        <v>36</v>
      </c>
      <c r="B37" s="1">
        <v>211</v>
      </c>
      <c r="C37" s="1" t="s">
        <v>22</v>
      </c>
      <c r="D37" s="2">
        <v>8</v>
      </c>
      <c r="E37" s="1" t="s">
        <v>23</v>
      </c>
      <c r="F37" s="1" t="str">
        <f>VLOOKUP(B37,Sheet2!$G$2:$H$28,2,FALSE)</f>
        <v>가정역</v>
      </c>
      <c r="G37" s="2" t="str">
        <f t="shared" si="2"/>
        <v>211EXIT008</v>
      </c>
      <c r="H37" s="1" t="s">
        <v>164</v>
      </c>
      <c r="I37" s="1" t="s">
        <v>11</v>
      </c>
      <c r="J37" s="1" t="str">
        <f t="shared" si="0"/>
        <v>211ZONE03</v>
      </c>
      <c r="K37" s="1" t="str">
        <f t="shared" si="3"/>
        <v>https://2line.pages.dev/?id=211EXIT008,211EXIT008</v>
      </c>
      <c r="L37" s="3" t="s">
        <v>72</v>
      </c>
      <c r="M37" s="3"/>
    </row>
    <row r="38" spans="1:13" x14ac:dyDescent="0.3">
      <c r="A38" s="1">
        <f t="shared" si="1"/>
        <v>37</v>
      </c>
      <c r="B38" s="1">
        <v>211</v>
      </c>
      <c r="C38" s="1" t="s">
        <v>26</v>
      </c>
      <c r="D38" s="2" t="s">
        <v>27</v>
      </c>
      <c r="E38" s="1" t="s">
        <v>19</v>
      </c>
      <c r="F38" s="1" t="str">
        <f>VLOOKUP(B38,Sheet2!$G$2:$H$28,2,FALSE)</f>
        <v>가정역</v>
      </c>
      <c r="G38" s="2" t="str">
        <f t="shared" si="2"/>
        <v>211TOILET6M</v>
      </c>
      <c r="H38" s="1" t="s">
        <v>165</v>
      </c>
      <c r="I38" s="1" t="s">
        <v>11</v>
      </c>
      <c r="J38" s="1" t="str">
        <f t="shared" si="0"/>
        <v>211ZONE01</v>
      </c>
      <c r="K38" s="1" t="str">
        <f t="shared" si="3"/>
        <v>https://2line.pages.dev/?id=211TOILET6M,211TOILET6M</v>
      </c>
      <c r="L38" s="3" t="s">
        <v>73</v>
      </c>
      <c r="M38" s="3"/>
    </row>
    <row r="39" spans="1:13" x14ac:dyDescent="0.3">
      <c r="A39" s="1">
        <f t="shared" si="1"/>
        <v>38</v>
      </c>
      <c r="B39" s="1">
        <v>211</v>
      </c>
      <c r="C39" s="1" t="s">
        <v>26</v>
      </c>
      <c r="D39" s="2" t="s">
        <v>28</v>
      </c>
      <c r="E39" s="1" t="s">
        <v>19</v>
      </c>
      <c r="F39" s="1" t="str">
        <f>VLOOKUP(B39,Sheet2!$G$2:$H$28,2,FALSE)</f>
        <v>가정역</v>
      </c>
      <c r="G39" s="2" t="str">
        <f t="shared" si="2"/>
        <v>211TOILET6W</v>
      </c>
      <c r="H39" s="1" t="s">
        <v>166</v>
      </c>
      <c r="I39" s="1" t="s">
        <v>11</v>
      </c>
      <c r="J39" s="1" t="str">
        <f t="shared" si="0"/>
        <v>211ZONE01</v>
      </c>
      <c r="K39" s="1" t="str">
        <f t="shared" si="3"/>
        <v>https://2line.pages.dev/?id=211TOILET6W,211TOILET6W</v>
      </c>
      <c r="L39" s="3" t="s">
        <v>74</v>
      </c>
      <c r="M39" s="3"/>
    </row>
    <row r="40" spans="1:13" x14ac:dyDescent="0.3">
      <c r="A40" s="1">
        <f t="shared" si="1"/>
        <v>39</v>
      </c>
      <c r="B40" s="1">
        <v>211</v>
      </c>
      <c r="C40" s="1" t="s">
        <v>26</v>
      </c>
      <c r="D40" s="2" t="s">
        <v>29</v>
      </c>
      <c r="E40" s="1" t="s">
        <v>25</v>
      </c>
      <c r="F40" s="1" t="str">
        <f>VLOOKUP(B40,Sheet2!$G$2:$H$28,2,FALSE)</f>
        <v>가정역</v>
      </c>
      <c r="G40" s="2" t="str">
        <f t="shared" si="2"/>
        <v>211TOILET5M</v>
      </c>
      <c r="H40" s="1" t="s">
        <v>167</v>
      </c>
      <c r="I40" s="1" t="s">
        <v>11</v>
      </c>
      <c r="J40" s="1" t="str">
        <f t="shared" si="0"/>
        <v>211ZONE04</v>
      </c>
      <c r="K40" s="1" t="str">
        <f t="shared" si="3"/>
        <v>https://2line.pages.dev/?id=211TOILET5M,211TOILET5M</v>
      </c>
      <c r="L40" s="3" t="s">
        <v>75</v>
      </c>
      <c r="M40" s="3"/>
    </row>
    <row r="41" spans="1:13" x14ac:dyDescent="0.3">
      <c r="A41" s="1">
        <f t="shared" si="1"/>
        <v>40</v>
      </c>
      <c r="B41" s="1">
        <v>211</v>
      </c>
      <c r="C41" s="1" t="s">
        <v>26</v>
      </c>
      <c r="D41" s="2" t="s">
        <v>30</v>
      </c>
      <c r="E41" s="1" t="s">
        <v>25</v>
      </c>
      <c r="F41" s="1" t="str">
        <f>VLOOKUP(B41,Sheet2!$G$2:$H$28,2,FALSE)</f>
        <v>가정역</v>
      </c>
      <c r="G41" s="2" t="str">
        <f t="shared" si="2"/>
        <v>211TOILET5W</v>
      </c>
      <c r="H41" s="1" t="s">
        <v>168</v>
      </c>
      <c r="I41" s="1" t="s">
        <v>11</v>
      </c>
      <c r="J41" s="1" t="str">
        <f t="shared" si="0"/>
        <v>211ZONE04</v>
      </c>
      <c r="K41" s="1" t="str">
        <f t="shared" si="3"/>
        <v>https://2line.pages.dev/?id=211TOILET5W,211TOILET5W</v>
      </c>
      <c r="L41" s="3" t="s">
        <v>76</v>
      </c>
      <c r="M41" s="3"/>
    </row>
    <row r="42" spans="1:13" x14ac:dyDescent="0.3">
      <c r="A42" s="1">
        <f t="shared" si="1"/>
        <v>41</v>
      </c>
      <c r="B42" s="1">
        <v>211</v>
      </c>
      <c r="C42" s="1" t="s">
        <v>31</v>
      </c>
      <c r="D42" s="2" t="s">
        <v>32</v>
      </c>
      <c r="E42" s="1" t="s">
        <v>33</v>
      </c>
      <c r="F42" s="1" t="str">
        <f>VLOOKUP(B42,Sheet2!$G$2:$H$28,2,FALSE)</f>
        <v>가정역</v>
      </c>
      <c r="G42" s="2" t="str">
        <f t="shared" si="2"/>
        <v>211UPFRONT</v>
      </c>
      <c r="H42" s="1" t="s">
        <v>169</v>
      </c>
      <c r="I42" s="1" t="s">
        <v>11</v>
      </c>
      <c r="J42" s="1" t="str">
        <f t="shared" si="0"/>
        <v>211ZONE14</v>
      </c>
      <c r="K42" s="1" t="str">
        <f t="shared" si="3"/>
        <v>https://2line.pages.dev/?id=211UPFRONT,211UPFRONT</v>
      </c>
      <c r="L42" s="3" t="s">
        <v>77</v>
      </c>
      <c r="M42" s="3"/>
    </row>
    <row r="43" spans="1:13" x14ac:dyDescent="0.3">
      <c r="A43" s="1">
        <f t="shared" si="1"/>
        <v>42</v>
      </c>
      <c r="B43" s="1">
        <v>211</v>
      </c>
      <c r="C43" s="1" t="s">
        <v>31</v>
      </c>
      <c r="D43" s="2" t="s">
        <v>34</v>
      </c>
      <c r="E43" s="1" t="s">
        <v>35</v>
      </c>
      <c r="F43" s="1" t="str">
        <f>VLOOKUP(B43,Sheet2!$G$2:$H$28,2,FALSE)</f>
        <v>가정역</v>
      </c>
      <c r="G43" s="2" t="str">
        <f t="shared" si="2"/>
        <v>211UPMID</v>
      </c>
      <c r="H43" s="1" t="s">
        <v>170</v>
      </c>
      <c r="I43" s="1" t="s">
        <v>11</v>
      </c>
      <c r="J43" s="1" t="str">
        <f t="shared" si="0"/>
        <v>211ZONE13</v>
      </c>
      <c r="K43" s="1" t="str">
        <f t="shared" si="3"/>
        <v>https://2line.pages.dev/?id=211UPMID,211UPMID</v>
      </c>
      <c r="L43" s="3" t="s">
        <v>78</v>
      </c>
      <c r="M43" s="3"/>
    </row>
    <row r="44" spans="1:13" x14ac:dyDescent="0.3">
      <c r="A44" s="1">
        <f t="shared" si="1"/>
        <v>43</v>
      </c>
      <c r="B44" s="1">
        <v>211</v>
      </c>
      <c r="C44" s="1" t="s">
        <v>31</v>
      </c>
      <c r="D44" s="2" t="s">
        <v>36</v>
      </c>
      <c r="E44" s="1" t="s">
        <v>37</v>
      </c>
      <c r="F44" s="1" t="str">
        <f>VLOOKUP(B44,Sheet2!$G$2:$H$28,2,FALSE)</f>
        <v>가정역</v>
      </c>
      <c r="G44" s="2" t="str">
        <f t="shared" si="2"/>
        <v>211UPREAR</v>
      </c>
      <c r="H44" s="1" t="s">
        <v>171</v>
      </c>
      <c r="I44" s="1" t="s">
        <v>11</v>
      </c>
      <c r="J44" s="1" t="str">
        <f t="shared" si="0"/>
        <v>211ZONE12</v>
      </c>
      <c r="K44" s="1" t="str">
        <f t="shared" si="3"/>
        <v>https://2line.pages.dev/?id=211UPREAR,211UPREAR</v>
      </c>
      <c r="L44" s="3" t="s">
        <v>79</v>
      </c>
      <c r="M44" s="3"/>
    </row>
    <row r="45" spans="1:13" x14ac:dyDescent="0.3">
      <c r="A45" s="1">
        <f t="shared" si="1"/>
        <v>44</v>
      </c>
      <c r="B45" s="1">
        <v>211</v>
      </c>
      <c r="C45" s="1" t="s">
        <v>38</v>
      </c>
      <c r="D45" s="2" t="s">
        <v>32</v>
      </c>
      <c r="E45" s="1" t="s">
        <v>15</v>
      </c>
      <c r="F45" s="1" t="str">
        <f>VLOOKUP(B45,Sheet2!$G$2:$H$28,2,FALSE)</f>
        <v>가정역</v>
      </c>
      <c r="G45" s="2" t="str">
        <f t="shared" si="2"/>
        <v>211DOWNFRONT</v>
      </c>
      <c r="H45" s="1" t="s">
        <v>172</v>
      </c>
      <c r="I45" s="1" t="s">
        <v>11</v>
      </c>
      <c r="J45" s="1" t="str">
        <f t="shared" si="0"/>
        <v>211ZONE09</v>
      </c>
      <c r="K45" s="1" t="str">
        <f t="shared" si="3"/>
        <v>https://2line.pages.dev/?id=211DOWNFRONT,211DOWNFRONT</v>
      </c>
      <c r="L45" s="3" t="s">
        <v>80</v>
      </c>
      <c r="M45" s="3"/>
    </row>
    <row r="46" spans="1:13" x14ac:dyDescent="0.3">
      <c r="A46" s="1">
        <f t="shared" si="1"/>
        <v>45</v>
      </c>
      <c r="B46" s="1">
        <v>211</v>
      </c>
      <c r="C46" s="1" t="s">
        <v>38</v>
      </c>
      <c r="D46" s="2" t="s">
        <v>34</v>
      </c>
      <c r="E46" s="1" t="s">
        <v>21</v>
      </c>
      <c r="F46" s="1" t="str">
        <f>VLOOKUP(B46,Sheet2!$G$2:$H$28,2,FALSE)</f>
        <v>가정역</v>
      </c>
      <c r="G46" s="2" t="str">
        <f t="shared" si="2"/>
        <v>211DOWNMID</v>
      </c>
      <c r="H46" s="1" t="s">
        <v>173</v>
      </c>
      <c r="I46" s="1" t="s">
        <v>11</v>
      </c>
      <c r="J46" s="1" t="str">
        <f t="shared" si="0"/>
        <v>211ZONE10</v>
      </c>
      <c r="K46" s="1" t="str">
        <f t="shared" si="3"/>
        <v>https://2line.pages.dev/?id=211DOWNMID,211DOWNMID</v>
      </c>
      <c r="L46" s="3" t="s">
        <v>81</v>
      </c>
      <c r="M46" s="3"/>
    </row>
    <row r="47" spans="1:13" x14ac:dyDescent="0.3">
      <c r="A47" s="1">
        <f t="shared" si="1"/>
        <v>46</v>
      </c>
      <c r="B47" s="1">
        <v>211</v>
      </c>
      <c r="C47" s="1" t="s">
        <v>38</v>
      </c>
      <c r="D47" s="2" t="s">
        <v>36</v>
      </c>
      <c r="E47" s="1" t="s">
        <v>39</v>
      </c>
      <c r="F47" s="1" t="str">
        <f>VLOOKUP(B47,Sheet2!$G$2:$H$28,2,FALSE)</f>
        <v>가정역</v>
      </c>
      <c r="G47" s="2" t="str">
        <f t="shared" si="2"/>
        <v>211DOWNREAR</v>
      </c>
      <c r="H47" s="1" t="s">
        <v>174</v>
      </c>
      <c r="I47" s="1" t="s">
        <v>11</v>
      </c>
      <c r="J47" s="1" t="str">
        <f t="shared" si="0"/>
        <v>211ZONE11</v>
      </c>
      <c r="K47" s="1" t="str">
        <f t="shared" si="3"/>
        <v>https://2line.pages.dev/?id=211DOWNREAR,211DOWNREAR</v>
      </c>
      <c r="L47" s="3" t="s">
        <v>82</v>
      </c>
      <c r="M47" s="3"/>
    </row>
    <row r="48" spans="1:13" x14ac:dyDescent="0.3">
      <c r="A48" s="1">
        <f t="shared" si="1"/>
        <v>47</v>
      </c>
      <c r="B48" s="1">
        <v>211</v>
      </c>
      <c r="C48" s="1" t="s">
        <v>40</v>
      </c>
      <c r="D48" s="2">
        <v>1</v>
      </c>
      <c r="E48" s="1" t="s">
        <v>17</v>
      </c>
      <c r="F48" s="1" t="str">
        <f>VLOOKUP(B48,Sheet2!$G$2:$H$28,2,FALSE)</f>
        <v>가정역</v>
      </c>
      <c r="G48" s="2" t="str">
        <f t="shared" si="2"/>
        <v>211STA001</v>
      </c>
      <c r="H48" s="1" t="s">
        <v>175</v>
      </c>
      <c r="I48" s="1" t="s">
        <v>11</v>
      </c>
      <c r="J48" s="1" t="str">
        <f t="shared" si="0"/>
        <v>211ZONE02</v>
      </c>
      <c r="K48" s="1" t="str">
        <f t="shared" si="3"/>
        <v>https://2line.pages.dev/?id=211STA001,211STA001</v>
      </c>
      <c r="L48" s="3" t="s">
        <v>83</v>
      </c>
      <c r="M48" s="3"/>
    </row>
    <row r="49" spans="1:13" x14ac:dyDescent="0.3">
      <c r="A49" s="1">
        <f t="shared" si="1"/>
        <v>48</v>
      </c>
      <c r="B49" s="1">
        <v>211</v>
      </c>
      <c r="C49" s="1" t="s">
        <v>40</v>
      </c>
      <c r="D49" s="2">
        <v>2</v>
      </c>
      <c r="E49" s="1" t="s">
        <v>18</v>
      </c>
      <c r="F49" s="1" t="str">
        <f>VLOOKUP(B49,Sheet2!$G$2:$H$28,2,FALSE)</f>
        <v>가정역</v>
      </c>
      <c r="G49" s="2" t="str">
        <f t="shared" si="2"/>
        <v>211STA002</v>
      </c>
      <c r="H49" s="1" t="s">
        <v>176</v>
      </c>
      <c r="I49" s="1" t="s">
        <v>11</v>
      </c>
      <c r="J49" s="1" t="str">
        <f t="shared" si="0"/>
        <v>211ZONE05</v>
      </c>
      <c r="K49" s="1" t="str">
        <f t="shared" si="3"/>
        <v>https://2line.pages.dev/?id=211STA002,211STA002</v>
      </c>
      <c r="L49" s="3" t="s">
        <v>84</v>
      </c>
      <c r="M49" s="3"/>
    </row>
    <row r="50" spans="1:13" x14ac:dyDescent="0.3">
      <c r="A50" s="1">
        <f>ROW()-1</f>
        <v>49</v>
      </c>
      <c r="B50" s="1">
        <v>209</v>
      </c>
      <c r="C50" s="1" t="s">
        <v>276</v>
      </c>
      <c r="D50" s="2">
        <v>1</v>
      </c>
      <c r="E50" s="1" t="s">
        <v>18</v>
      </c>
      <c r="F50" s="1" t="str">
        <f>VLOOKUP(B50,Sheet2!$G$2:$H$28,2,FALSE)</f>
        <v>아시아드경기장역</v>
      </c>
      <c r="G50" s="2" t="str">
        <f t="shared" si="2"/>
        <v>209ES001</v>
      </c>
      <c r="H50" s="1" t="s">
        <v>226</v>
      </c>
      <c r="I50" s="1" t="s">
        <v>275</v>
      </c>
      <c r="J50" s="1" t="str">
        <f t="shared" ref="J50:J80" si="4">B50&amp;E50</f>
        <v>209ZONE05</v>
      </c>
      <c r="K50" s="1" t="str">
        <f t="shared" si="3"/>
        <v>https://2line.pages.dev/?id=209ES001,209ES001</v>
      </c>
      <c r="L50" s="3" t="s">
        <v>284</v>
      </c>
    </row>
    <row r="51" spans="1:13" x14ac:dyDescent="0.3">
      <c r="A51" s="1">
        <f t="shared" si="1"/>
        <v>50</v>
      </c>
      <c r="B51" s="1">
        <v>209</v>
      </c>
      <c r="C51" s="1" t="s">
        <v>276</v>
      </c>
      <c r="D51" s="2">
        <v>2</v>
      </c>
      <c r="E51" s="1" t="s">
        <v>23</v>
      </c>
      <c r="F51" s="1" t="str">
        <f>VLOOKUP(B51,Sheet2!$G$2:$H$28,2,FALSE)</f>
        <v>아시아드경기장역</v>
      </c>
      <c r="G51" s="2" t="str">
        <f t="shared" si="2"/>
        <v>209ES002</v>
      </c>
      <c r="H51" s="1" t="s">
        <v>227</v>
      </c>
      <c r="I51" s="1" t="s">
        <v>275</v>
      </c>
      <c r="J51" s="1" t="str">
        <f t="shared" si="4"/>
        <v>209ZONE03</v>
      </c>
      <c r="K51" s="1" t="str">
        <f t="shared" si="3"/>
        <v>https://2line.pages.dev/?id=209ES002,209ES002</v>
      </c>
      <c r="L51" s="3" t="s">
        <v>285</v>
      </c>
    </row>
    <row r="52" spans="1:13" x14ac:dyDescent="0.3">
      <c r="A52" s="1">
        <f t="shared" si="1"/>
        <v>51</v>
      </c>
      <c r="B52" s="1">
        <v>209</v>
      </c>
      <c r="C52" s="1" t="s">
        <v>276</v>
      </c>
      <c r="D52" s="2">
        <v>3</v>
      </c>
      <c r="E52" s="1" t="s">
        <v>13</v>
      </c>
      <c r="F52" s="1" t="str">
        <f>VLOOKUP(B52,Sheet2!$G$2:$H$28,2,FALSE)</f>
        <v>아시아드경기장역</v>
      </c>
      <c r="G52" s="2" t="str">
        <f t="shared" si="2"/>
        <v>209ES003</v>
      </c>
      <c r="H52" s="1" t="s">
        <v>228</v>
      </c>
      <c r="I52" s="1" t="s">
        <v>275</v>
      </c>
      <c r="J52" s="1" t="str">
        <f t="shared" si="4"/>
        <v>209ZONE07</v>
      </c>
      <c r="K52" s="1" t="str">
        <f t="shared" si="3"/>
        <v>https://2line.pages.dev/?id=209ES003,209ES003</v>
      </c>
      <c r="L52" s="3" t="s">
        <v>286</v>
      </c>
    </row>
    <row r="53" spans="1:13" x14ac:dyDescent="0.3">
      <c r="A53" s="1">
        <f t="shared" si="1"/>
        <v>52</v>
      </c>
      <c r="B53" s="1">
        <v>209</v>
      </c>
      <c r="C53" s="1" t="s">
        <v>276</v>
      </c>
      <c r="D53" s="2">
        <v>4</v>
      </c>
      <c r="E53" s="1" t="s">
        <v>23</v>
      </c>
      <c r="F53" s="1" t="str">
        <f>VLOOKUP(B53,Sheet2!$G$2:$H$28,2,FALSE)</f>
        <v>아시아드경기장역</v>
      </c>
      <c r="G53" s="2" t="str">
        <f t="shared" si="2"/>
        <v>209ES004</v>
      </c>
      <c r="H53" s="1" t="s">
        <v>229</v>
      </c>
      <c r="I53" s="1" t="s">
        <v>275</v>
      </c>
      <c r="J53" s="1" t="str">
        <f t="shared" si="4"/>
        <v>209ZONE03</v>
      </c>
      <c r="K53" s="1" t="str">
        <f t="shared" si="3"/>
        <v>https://2line.pages.dev/?id=209ES004,209ES004</v>
      </c>
      <c r="L53" s="3" t="s">
        <v>287</v>
      </c>
    </row>
    <row r="54" spans="1:13" x14ac:dyDescent="0.3">
      <c r="A54" s="1">
        <f t="shared" si="1"/>
        <v>53</v>
      </c>
      <c r="B54" s="1">
        <v>209</v>
      </c>
      <c r="C54" s="1" t="s">
        <v>276</v>
      </c>
      <c r="D54" s="2">
        <v>5</v>
      </c>
      <c r="E54" s="1" t="s">
        <v>19</v>
      </c>
      <c r="F54" s="1" t="str">
        <f>VLOOKUP(B54,Sheet2!$G$2:$H$28,2,FALSE)</f>
        <v>아시아드경기장역</v>
      </c>
      <c r="G54" s="2" t="str">
        <f t="shared" si="2"/>
        <v>209ES005</v>
      </c>
      <c r="H54" s="1" t="s">
        <v>230</v>
      </c>
      <c r="I54" s="1" t="s">
        <v>275</v>
      </c>
      <c r="J54" s="1" t="str">
        <f t="shared" si="4"/>
        <v>209ZONE01</v>
      </c>
      <c r="K54" s="1" t="str">
        <f t="shared" si="3"/>
        <v>https://2line.pages.dev/?id=209ES005,209ES005</v>
      </c>
      <c r="L54" s="3" t="s">
        <v>288</v>
      </c>
    </row>
    <row r="55" spans="1:13" x14ac:dyDescent="0.3">
      <c r="A55" s="1">
        <f t="shared" si="1"/>
        <v>54</v>
      </c>
      <c r="B55" s="1">
        <v>209</v>
      </c>
      <c r="C55" s="1" t="s">
        <v>276</v>
      </c>
      <c r="D55" s="2">
        <v>6</v>
      </c>
      <c r="E55" s="1" t="s">
        <v>19</v>
      </c>
      <c r="F55" s="1" t="str">
        <f>VLOOKUP(B55,Sheet2!$G$2:$H$28,2,FALSE)</f>
        <v>아시아드경기장역</v>
      </c>
      <c r="G55" s="2" t="str">
        <f t="shared" si="2"/>
        <v>209ES006</v>
      </c>
      <c r="H55" s="1" t="s">
        <v>231</v>
      </c>
      <c r="I55" s="1" t="s">
        <v>275</v>
      </c>
      <c r="J55" s="1" t="str">
        <f t="shared" si="4"/>
        <v>209ZONE01</v>
      </c>
      <c r="K55" s="1" t="str">
        <f t="shared" si="3"/>
        <v>https://2line.pages.dev/?id=209ES006,209ES006</v>
      </c>
      <c r="L55" s="3" t="s">
        <v>289</v>
      </c>
    </row>
    <row r="56" spans="1:13" x14ac:dyDescent="0.3">
      <c r="A56" s="1">
        <f t="shared" si="1"/>
        <v>55</v>
      </c>
      <c r="B56" s="1">
        <v>209</v>
      </c>
      <c r="C56" s="1" t="s">
        <v>276</v>
      </c>
      <c r="D56" s="2">
        <v>7</v>
      </c>
      <c r="E56" s="1" t="s">
        <v>17</v>
      </c>
      <c r="F56" s="1" t="str">
        <f>VLOOKUP(B56,Sheet2!$G$2:$H$28,2,FALSE)</f>
        <v>아시아드경기장역</v>
      </c>
      <c r="G56" s="2" t="str">
        <f t="shared" si="2"/>
        <v>209ES007</v>
      </c>
      <c r="H56" s="1" t="s">
        <v>232</v>
      </c>
      <c r="I56" s="1" t="s">
        <v>275</v>
      </c>
      <c r="J56" s="1" t="str">
        <f t="shared" si="4"/>
        <v>209ZONE02</v>
      </c>
      <c r="K56" s="1" t="str">
        <f t="shared" si="3"/>
        <v>https://2line.pages.dev/?id=209ES007,209ES007</v>
      </c>
      <c r="L56" s="3" t="s">
        <v>290</v>
      </c>
    </row>
    <row r="57" spans="1:13" x14ac:dyDescent="0.3">
      <c r="A57" s="1">
        <f t="shared" si="1"/>
        <v>56</v>
      </c>
      <c r="B57" s="1">
        <v>209</v>
      </c>
      <c r="C57" s="1" t="s">
        <v>276</v>
      </c>
      <c r="D57" s="2">
        <v>8</v>
      </c>
      <c r="E57" s="1" t="s">
        <v>17</v>
      </c>
      <c r="F57" s="1" t="str">
        <f>VLOOKUP(B57,Sheet2!$G$2:$H$28,2,FALSE)</f>
        <v>아시아드경기장역</v>
      </c>
      <c r="G57" s="2" t="str">
        <f t="shared" si="2"/>
        <v>209ES008</v>
      </c>
      <c r="H57" s="1" t="s">
        <v>233</v>
      </c>
      <c r="I57" s="1" t="s">
        <v>275</v>
      </c>
      <c r="J57" s="1" t="str">
        <f t="shared" si="4"/>
        <v>209ZONE02</v>
      </c>
      <c r="K57" s="1" t="str">
        <f t="shared" si="3"/>
        <v>https://2line.pages.dev/?id=209ES008,209ES008</v>
      </c>
      <c r="L57" s="3" t="s">
        <v>291</v>
      </c>
    </row>
    <row r="58" spans="1:13" x14ac:dyDescent="0.3">
      <c r="A58" s="1">
        <f t="shared" si="1"/>
        <v>57</v>
      </c>
      <c r="B58" s="1">
        <v>209</v>
      </c>
      <c r="C58" s="1" t="s">
        <v>277</v>
      </c>
      <c r="D58" s="2" t="s">
        <v>280</v>
      </c>
      <c r="E58" s="1" t="s">
        <v>282</v>
      </c>
      <c r="F58" s="1" t="str">
        <f>VLOOKUP(B58,Sheet2!$G$2:$H$28,2,FALSE)</f>
        <v>아시아드경기장역</v>
      </c>
      <c r="G58" s="2" t="str">
        <f t="shared" si="2"/>
        <v>209TOILET4M</v>
      </c>
      <c r="H58" s="1" t="s">
        <v>234</v>
      </c>
      <c r="I58" s="1" t="s">
        <v>275</v>
      </c>
      <c r="J58" s="1" t="str">
        <f t="shared" si="4"/>
        <v>209ZONE03</v>
      </c>
      <c r="K58" s="1" t="str">
        <f t="shared" si="3"/>
        <v>https://2line.pages.dev/?id=209TOILET4M,209TOILET4M</v>
      </c>
      <c r="L58" s="3" t="s">
        <v>292</v>
      </c>
    </row>
    <row r="59" spans="1:13" x14ac:dyDescent="0.3">
      <c r="A59" s="1">
        <f t="shared" si="1"/>
        <v>58</v>
      </c>
      <c r="B59" s="1">
        <v>209</v>
      </c>
      <c r="C59" s="1" t="s">
        <v>277</v>
      </c>
      <c r="D59" s="2" t="s">
        <v>281</v>
      </c>
      <c r="E59" s="1" t="s">
        <v>283</v>
      </c>
      <c r="F59" s="1" t="str">
        <f>VLOOKUP(B59,Sheet2!$G$2:$H$28,2,FALSE)</f>
        <v>아시아드경기장역</v>
      </c>
      <c r="G59" s="2" t="str">
        <f t="shared" si="2"/>
        <v>209TOILET4W</v>
      </c>
      <c r="H59" s="1" t="s">
        <v>235</v>
      </c>
      <c r="I59" s="1" t="s">
        <v>275</v>
      </c>
      <c r="J59" s="1" t="str">
        <f t="shared" si="4"/>
        <v>209ZONE04</v>
      </c>
      <c r="K59" s="1" t="str">
        <f t="shared" si="3"/>
        <v>https://2line.pages.dev/?id=209TOILET4W,209TOILET4W</v>
      </c>
      <c r="L59" s="3" t="s">
        <v>293</v>
      </c>
    </row>
    <row r="60" spans="1:13" x14ac:dyDescent="0.3">
      <c r="A60" s="1">
        <f t="shared" si="1"/>
        <v>59</v>
      </c>
      <c r="B60" s="1">
        <v>209</v>
      </c>
      <c r="C60" s="1" t="s">
        <v>278</v>
      </c>
      <c r="D60" s="2">
        <v>1</v>
      </c>
      <c r="E60" s="1" t="s">
        <v>25</v>
      </c>
      <c r="F60" s="1" t="str">
        <f>VLOOKUP(B60,Sheet2!$G$2:$H$28,2,FALSE)</f>
        <v>아시아드경기장역</v>
      </c>
      <c r="G60" s="2" t="str">
        <f t="shared" si="2"/>
        <v>209EL001</v>
      </c>
      <c r="H60" s="1" t="s">
        <v>236</v>
      </c>
      <c r="I60" s="1" t="s">
        <v>275</v>
      </c>
      <c r="J60" s="1" t="str">
        <f t="shared" si="4"/>
        <v>209ZONE04</v>
      </c>
      <c r="K60" s="1" t="str">
        <f t="shared" si="3"/>
        <v>https://2line.pages.dev/?id=209EL001,209EL001</v>
      </c>
      <c r="L60" s="3" t="s">
        <v>294</v>
      </c>
    </row>
    <row r="61" spans="1:13" x14ac:dyDescent="0.3">
      <c r="A61" s="1">
        <f t="shared" si="1"/>
        <v>60</v>
      </c>
      <c r="B61" s="1">
        <v>209</v>
      </c>
      <c r="C61" s="1" t="s">
        <v>278</v>
      </c>
      <c r="D61" s="2">
        <v>2</v>
      </c>
      <c r="E61" s="1" t="s">
        <v>24</v>
      </c>
      <c r="F61" s="1" t="str">
        <f>VLOOKUP(B61,Sheet2!$G$2:$H$28,2,FALSE)</f>
        <v>아시아드경기장역</v>
      </c>
      <c r="G61" s="2" t="str">
        <f t="shared" si="2"/>
        <v>209EL002</v>
      </c>
      <c r="H61" s="1" t="s">
        <v>237</v>
      </c>
      <c r="I61" s="1" t="s">
        <v>275</v>
      </c>
      <c r="J61" s="1" t="str">
        <f t="shared" si="4"/>
        <v>209ZONE06</v>
      </c>
      <c r="K61" s="1" t="str">
        <f t="shared" si="3"/>
        <v>https://2line.pages.dev/?id=209EL002,209EL002</v>
      </c>
      <c r="L61" s="3" t="s">
        <v>295</v>
      </c>
    </row>
    <row r="62" spans="1:13" x14ac:dyDescent="0.3">
      <c r="A62" s="1">
        <f t="shared" si="1"/>
        <v>61</v>
      </c>
      <c r="B62" s="1">
        <v>209</v>
      </c>
      <c r="C62" s="1" t="s">
        <v>278</v>
      </c>
      <c r="D62" s="2">
        <v>3</v>
      </c>
      <c r="E62" s="1" t="s">
        <v>19</v>
      </c>
      <c r="F62" s="1" t="str">
        <f>VLOOKUP(B62,Sheet2!$G$2:$H$28,2,FALSE)</f>
        <v>아시아드경기장역</v>
      </c>
      <c r="G62" s="2" t="str">
        <f t="shared" si="2"/>
        <v>209EL003</v>
      </c>
      <c r="H62" s="1" t="s">
        <v>271</v>
      </c>
      <c r="I62" s="1" t="s">
        <v>275</v>
      </c>
      <c r="J62" s="1" t="str">
        <f t="shared" si="4"/>
        <v>209ZONE01</v>
      </c>
      <c r="K62" s="1" t="str">
        <f t="shared" si="3"/>
        <v>https://2line.pages.dev/?id=209EL003,209EL003</v>
      </c>
      <c r="L62" s="3" t="s">
        <v>296</v>
      </c>
    </row>
    <row r="63" spans="1:13" x14ac:dyDescent="0.3">
      <c r="A63" s="1">
        <f t="shared" si="1"/>
        <v>62</v>
      </c>
      <c r="B63" s="1">
        <v>209</v>
      </c>
      <c r="C63" s="1" t="s">
        <v>278</v>
      </c>
      <c r="D63" s="2">
        <v>4</v>
      </c>
      <c r="E63" s="1" t="s">
        <v>17</v>
      </c>
      <c r="F63" s="1" t="str">
        <f>VLOOKUP(B63,Sheet2!$G$2:$H$28,2,FALSE)</f>
        <v>아시아드경기장역</v>
      </c>
      <c r="G63" s="2" t="str">
        <f t="shared" si="2"/>
        <v>209EL004</v>
      </c>
      <c r="H63" s="1" t="s">
        <v>273</v>
      </c>
      <c r="I63" s="1" t="s">
        <v>275</v>
      </c>
      <c r="J63" s="1" t="str">
        <f t="shared" si="4"/>
        <v>209ZONE02</v>
      </c>
      <c r="K63" s="1" t="str">
        <f t="shared" si="3"/>
        <v>https://2line.pages.dev/?id=209EL004,209EL004</v>
      </c>
      <c r="L63" s="3" t="s">
        <v>297</v>
      </c>
    </row>
    <row r="64" spans="1:13" x14ac:dyDescent="0.3">
      <c r="A64" s="1">
        <f t="shared" si="1"/>
        <v>63</v>
      </c>
      <c r="B64" s="1">
        <v>209</v>
      </c>
      <c r="C64" s="1" t="s">
        <v>279</v>
      </c>
      <c r="D64" s="2">
        <v>1</v>
      </c>
      <c r="E64" s="1" t="s">
        <v>19</v>
      </c>
      <c r="F64" s="1" t="str">
        <f>VLOOKUP(B64,Sheet2!$G$2:$H$28,2,FALSE)</f>
        <v>아시아드경기장역</v>
      </c>
      <c r="G64" s="2" t="str">
        <f t="shared" si="2"/>
        <v>209EXIT001</v>
      </c>
      <c r="H64" s="1" t="s">
        <v>238</v>
      </c>
      <c r="I64" s="1" t="s">
        <v>275</v>
      </c>
      <c r="J64" s="1" t="str">
        <f t="shared" si="4"/>
        <v>209ZONE01</v>
      </c>
      <c r="K64" s="1" t="str">
        <f t="shared" si="3"/>
        <v>https://2line.pages.dev/?id=209EXIT001,209EXIT001</v>
      </c>
      <c r="L64" s="3" t="s">
        <v>298</v>
      </c>
    </row>
    <row r="65" spans="1:12" x14ac:dyDescent="0.3">
      <c r="A65" s="1">
        <f t="shared" si="1"/>
        <v>64</v>
      </c>
      <c r="B65" s="1">
        <v>209</v>
      </c>
      <c r="C65" s="1" t="s">
        <v>279</v>
      </c>
      <c r="D65" s="2">
        <v>2</v>
      </c>
      <c r="E65" s="1" t="s">
        <v>19</v>
      </c>
      <c r="F65" s="1" t="str">
        <f>VLOOKUP(B65,Sheet2!$G$2:$H$28,2,FALSE)</f>
        <v>아시아드경기장역</v>
      </c>
      <c r="G65" s="2" t="str">
        <f t="shared" si="2"/>
        <v>209EXIT002</v>
      </c>
      <c r="H65" s="1" t="s">
        <v>239</v>
      </c>
      <c r="I65" s="1" t="s">
        <v>275</v>
      </c>
      <c r="J65" s="1" t="str">
        <f t="shared" si="4"/>
        <v>209ZONE01</v>
      </c>
      <c r="K65" s="1" t="str">
        <f t="shared" si="3"/>
        <v>https://2line.pages.dev/?id=209EXIT002,209EXIT002</v>
      </c>
      <c r="L65" s="3" t="s">
        <v>299</v>
      </c>
    </row>
    <row r="66" spans="1:12" x14ac:dyDescent="0.3">
      <c r="A66" s="1">
        <f t="shared" si="1"/>
        <v>65</v>
      </c>
      <c r="B66" s="1">
        <v>209</v>
      </c>
      <c r="C66" s="1" t="s">
        <v>279</v>
      </c>
      <c r="D66" s="2">
        <v>3</v>
      </c>
      <c r="E66" s="1" t="s">
        <v>17</v>
      </c>
      <c r="F66" s="1" t="str">
        <f>VLOOKUP(B66,Sheet2!$G$2:$H$28,2,FALSE)</f>
        <v>아시아드경기장역</v>
      </c>
      <c r="G66" s="2" t="str">
        <f t="shared" si="2"/>
        <v>209EXIT003</v>
      </c>
      <c r="H66" s="1" t="s">
        <v>240</v>
      </c>
      <c r="I66" s="1" t="s">
        <v>275</v>
      </c>
      <c r="J66" s="1" t="str">
        <f t="shared" si="4"/>
        <v>209ZONE02</v>
      </c>
      <c r="K66" s="1" t="str">
        <f t="shared" si="3"/>
        <v>https://2line.pages.dev/?id=209EXIT003,209EXIT003</v>
      </c>
      <c r="L66" s="3" t="s">
        <v>300</v>
      </c>
    </row>
    <row r="67" spans="1:12" x14ac:dyDescent="0.3">
      <c r="A67" s="1">
        <f t="shared" ref="A67:A101" si="5">ROW()-1</f>
        <v>66</v>
      </c>
      <c r="B67" s="1">
        <v>209</v>
      </c>
      <c r="C67" s="1" t="s">
        <v>279</v>
      </c>
      <c r="D67" s="2">
        <v>4</v>
      </c>
      <c r="E67" s="1" t="s">
        <v>17</v>
      </c>
      <c r="F67" s="1" t="str">
        <f>VLOOKUP(B67,Sheet2!$G$2:$H$28,2,FALSE)</f>
        <v>아시아드경기장역</v>
      </c>
      <c r="G67" s="2" t="str">
        <f t="shared" ref="G67:G80" si="6">B67&amp;C67&amp;TEXT(D67,"000")</f>
        <v>209EXIT004</v>
      </c>
      <c r="H67" s="1" t="s">
        <v>241</v>
      </c>
      <c r="I67" s="1" t="s">
        <v>275</v>
      </c>
      <c r="J67" s="1" t="str">
        <f t="shared" si="4"/>
        <v>209ZONE02</v>
      </c>
      <c r="K67" s="1" t="str">
        <f t="shared" ref="K67:K80" si="7">"https://2line.pages.dev/?id="&amp;G67&amp;","&amp;G67</f>
        <v>https://2line.pages.dev/?id=209EXIT004,209EXIT004</v>
      </c>
      <c r="L67" s="3" t="s">
        <v>301</v>
      </c>
    </row>
    <row r="68" spans="1:12" x14ac:dyDescent="0.3">
      <c r="A68" s="1">
        <f t="shared" si="5"/>
        <v>67</v>
      </c>
      <c r="B68" s="1">
        <v>212</v>
      </c>
      <c r="C68" s="1" t="s">
        <v>276</v>
      </c>
      <c r="D68" s="2">
        <v>1</v>
      </c>
      <c r="E68" s="1" t="s">
        <v>18</v>
      </c>
      <c r="F68" s="1" t="str">
        <f>VLOOKUP(B68,Sheet2!$G$2:$H$28,2,FALSE)</f>
        <v>가정중앙시장역</v>
      </c>
      <c r="G68" s="2" t="str">
        <f t="shared" si="6"/>
        <v>212ES001</v>
      </c>
      <c r="H68" s="1" t="s">
        <v>303</v>
      </c>
      <c r="I68" s="1" t="s">
        <v>322</v>
      </c>
      <c r="J68" s="1" t="str">
        <f t="shared" si="4"/>
        <v>212ZONE05</v>
      </c>
      <c r="K68" s="1" t="str">
        <f t="shared" si="7"/>
        <v>https://2line.pages.dev/?id=212ES001,212ES001</v>
      </c>
      <c r="L68" s="3" t="s">
        <v>336</v>
      </c>
    </row>
    <row r="69" spans="1:12" x14ac:dyDescent="0.3">
      <c r="A69" s="1">
        <f t="shared" si="5"/>
        <v>68</v>
      </c>
      <c r="B69" s="1">
        <v>212</v>
      </c>
      <c r="C69" s="1" t="s">
        <v>276</v>
      </c>
      <c r="D69" s="2">
        <v>2</v>
      </c>
      <c r="E69" s="1" t="s">
        <v>23</v>
      </c>
      <c r="F69" s="1" t="str">
        <f>VLOOKUP(B69,Sheet2!$G$2:$H$28,2,FALSE)</f>
        <v>가정중앙시장역</v>
      </c>
      <c r="G69" s="2" t="str">
        <f t="shared" si="6"/>
        <v>212ES002</v>
      </c>
      <c r="H69" s="1" t="s">
        <v>304</v>
      </c>
      <c r="I69" s="1" t="s">
        <v>322</v>
      </c>
      <c r="J69" s="1" t="str">
        <f t="shared" si="4"/>
        <v>212ZONE03</v>
      </c>
      <c r="K69" s="1" t="str">
        <f t="shared" si="7"/>
        <v>https://2line.pages.dev/?id=212ES002,212ES002</v>
      </c>
      <c r="L69" s="3" t="s">
        <v>337</v>
      </c>
    </row>
    <row r="70" spans="1:12" x14ac:dyDescent="0.3">
      <c r="A70" s="1">
        <f t="shared" si="5"/>
        <v>69</v>
      </c>
      <c r="B70" s="1">
        <v>212</v>
      </c>
      <c r="C70" s="1" t="s">
        <v>276</v>
      </c>
      <c r="D70" s="2">
        <v>3</v>
      </c>
      <c r="E70" s="1" t="s">
        <v>13</v>
      </c>
      <c r="F70" s="1" t="str">
        <f>VLOOKUP(B70,Sheet2!$G$2:$H$28,2,FALSE)</f>
        <v>가정중앙시장역</v>
      </c>
      <c r="G70" s="2" t="str">
        <f t="shared" si="6"/>
        <v>212ES003</v>
      </c>
      <c r="H70" s="1" t="s">
        <v>305</v>
      </c>
      <c r="I70" s="1" t="s">
        <v>322</v>
      </c>
      <c r="J70" s="1" t="str">
        <f t="shared" si="4"/>
        <v>212ZONE07</v>
      </c>
      <c r="K70" s="1" t="str">
        <f t="shared" si="7"/>
        <v>https://2line.pages.dev/?id=212ES003,212ES003</v>
      </c>
      <c r="L70" s="3" t="s">
        <v>338</v>
      </c>
    </row>
    <row r="71" spans="1:12" x14ac:dyDescent="0.3">
      <c r="A71" s="1">
        <f t="shared" si="5"/>
        <v>70</v>
      </c>
      <c r="B71" s="1">
        <v>212</v>
      </c>
      <c r="C71" s="1" t="s">
        <v>276</v>
      </c>
      <c r="D71" s="2">
        <v>4</v>
      </c>
      <c r="E71" s="1" t="s">
        <v>23</v>
      </c>
      <c r="F71" s="1" t="str">
        <f>VLOOKUP(B71,Sheet2!$G$2:$H$28,2,FALSE)</f>
        <v>가정중앙시장역</v>
      </c>
      <c r="G71" s="2" t="str">
        <f t="shared" si="6"/>
        <v>212ES004</v>
      </c>
      <c r="H71" s="1" t="s">
        <v>306</v>
      </c>
      <c r="I71" s="1" t="s">
        <v>322</v>
      </c>
      <c r="J71" s="1" t="str">
        <f t="shared" si="4"/>
        <v>212ZONE03</v>
      </c>
      <c r="K71" s="1" t="str">
        <f t="shared" si="7"/>
        <v>https://2line.pages.dev/?id=212ES004,212ES004</v>
      </c>
      <c r="L71" s="3" t="s">
        <v>339</v>
      </c>
    </row>
    <row r="72" spans="1:12" x14ac:dyDescent="0.3">
      <c r="A72" s="1">
        <f t="shared" si="5"/>
        <v>71</v>
      </c>
      <c r="B72" s="1">
        <v>212</v>
      </c>
      <c r="C72" s="1" t="s">
        <v>276</v>
      </c>
      <c r="D72" s="2">
        <v>5</v>
      </c>
      <c r="E72" s="1" t="s">
        <v>19</v>
      </c>
      <c r="F72" s="1" t="str">
        <f>VLOOKUP(B72,Sheet2!$G$2:$H$28,2,FALSE)</f>
        <v>가정중앙시장역</v>
      </c>
      <c r="G72" s="2" t="str">
        <f t="shared" si="6"/>
        <v>212ES005</v>
      </c>
      <c r="H72" s="1" t="s">
        <v>307</v>
      </c>
      <c r="I72" s="1" t="s">
        <v>322</v>
      </c>
      <c r="J72" s="1" t="str">
        <f t="shared" si="4"/>
        <v>212ZONE01</v>
      </c>
      <c r="K72" s="1" t="str">
        <f t="shared" si="7"/>
        <v>https://2line.pages.dev/?id=212ES005,212ES005</v>
      </c>
      <c r="L72" s="3" t="s">
        <v>340</v>
      </c>
    </row>
    <row r="73" spans="1:12" x14ac:dyDescent="0.3">
      <c r="A73" s="1">
        <f t="shared" si="5"/>
        <v>72</v>
      </c>
      <c r="B73" s="1">
        <v>212</v>
      </c>
      <c r="C73" s="1" t="s">
        <v>276</v>
      </c>
      <c r="D73" s="2">
        <v>6</v>
      </c>
      <c r="E73" s="1" t="s">
        <v>19</v>
      </c>
      <c r="F73" s="1" t="str">
        <f>VLOOKUP(B73,Sheet2!$G$2:$H$28,2,FALSE)</f>
        <v>가정중앙시장역</v>
      </c>
      <c r="G73" s="2" t="str">
        <f t="shared" si="6"/>
        <v>212ES006</v>
      </c>
      <c r="H73" s="1" t="s">
        <v>308</v>
      </c>
      <c r="I73" s="1" t="s">
        <v>322</v>
      </c>
      <c r="J73" s="1" t="str">
        <f t="shared" si="4"/>
        <v>212ZONE01</v>
      </c>
      <c r="K73" s="1" t="str">
        <f t="shared" si="7"/>
        <v>https://2line.pages.dev/?id=212ES006,212ES006</v>
      </c>
      <c r="L73" s="3" t="s">
        <v>341</v>
      </c>
    </row>
    <row r="74" spans="1:12" x14ac:dyDescent="0.3">
      <c r="A74" s="1">
        <f t="shared" si="5"/>
        <v>73</v>
      </c>
      <c r="B74" s="1">
        <v>212</v>
      </c>
      <c r="C74" s="1" t="s">
        <v>278</v>
      </c>
      <c r="D74" s="2">
        <v>1</v>
      </c>
      <c r="E74" s="1" t="s">
        <v>25</v>
      </c>
      <c r="F74" s="1" t="str">
        <f>VLOOKUP(B74,Sheet2!$G$2:$H$28,2,FALSE)</f>
        <v>가정중앙시장역</v>
      </c>
      <c r="G74" s="2" t="str">
        <f t="shared" si="6"/>
        <v>212EL001</v>
      </c>
      <c r="H74" s="1" t="s">
        <v>310</v>
      </c>
      <c r="I74" s="1" t="s">
        <v>322</v>
      </c>
      <c r="J74" s="1" t="str">
        <f t="shared" si="4"/>
        <v>212ZONE04</v>
      </c>
      <c r="K74" s="1" t="str">
        <f t="shared" si="7"/>
        <v>https://2line.pages.dev/?id=212EL001,212EL001</v>
      </c>
      <c r="L74" s="3" t="s">
        <v>342</v>
      </c>
    </row>
    <row r="75" spans="1:12" x14ac:dyDescent="0.3">
      <c r="A75" s="1">
        <f t="shared" si="5"/>
        <v>74</v>
      </c>
      <c r="B75" s="1">
        <v>212</v>
      </c>
      <c r="C75" s="1" t="s">
        <v>278</v>
      </c>
      <c r="D75" s="2">
        <v>2</v>
      </c>
      <c r="E75" s="1" t="s">
        <v>24</v>
      </c>
      <c r="F75" s="1" t="str">
        <f>VLOOKUP(B75,Sheet2!$G$2:$H$28,2,FALSE)</f>
        <v>가정중앙시장역</v>
      </c>
      <c r="G75" s="2" t="str">
        <f t="shared" si="6"/>
        <v>212EL002</v>
      </c>
      <c r="H75" s="1" t="s">
        <v>311</v>
      </c>
      <c r="I75" s="1" t="s">
        <v>322</v>
      </c>
      <c r="J75" s="1" t="str">
        <f t="shared" si="4"/>
        <v>212ZONE06</v>
      </c>
      <c r="K75" s="1" t="str">
        <f t="shared" si="7"/>
        <v>https://2line.pages.dev/?id=212EL002,212EL002</v>
      </c>
      <c r="L75" s="3" t="s">
        <v>343</v>
      </c>
    </row>
    <row r="76" spans="1:12" x14ac:dyDescent="0.3">
      <c r="A76" s="1">
        <f t="shared" si="5"/>
        <v>75</v>
      </c>
      <c r="B76" s="1">
        <v>212</v>
      </c>
      <c r="C76" s="1" t="s">
        <v>278</v>
      </c>
      <c r="D76" s="2">
        <v>3</v>
      </c>
      <c r="E76" s="1" t="s">
        <v>19</v>
      </c>
      <c r="F76" s="1" t="str">
        <f>VLOOKUP(B76,Sheet2!$G$2:$H$28,2,FALSE)</f>
        <v>가정중앙시장역</v>
      </c>
      <c r="G76" s="2" t="str">
        <f t="shared" si="6"/>
        <v>212EL003</v>
      </c>
      <c r="H76" s="1" t="s">
        <v>312</v>
      </c>
      <c r="I76" s="1" t="s">
        <v>322</v>
      </c>
      <c r="J76" s="1" t="str">
        <f t="shared" si="4"/>
        <v>212ZONE01</v>
      </c>
      <c r="K76" s="1" t="str">
        <f t="shared" si="7"/>
        <v>https://2line.pages.dev/?id=212EL003,212EL003</v>
      </c>
      <c r="L76" s="3" t="s">
        <v>344</v>
      </c>
    </row>
    <row r="77" spans="1:12" x14ac:dyDescent="0.3">
      <c r="A77" s="1">
        <f t="shared" si="5"/>
        <v>76</v>
      </c>
      <c r="B77" s="1">
        <v>212</v>
      </c>
      <c r="C77" s="1" t="s">
        <v>278</v>
      </c>
      <c r="D77" s="2">
        <v>4</v>
      </c>
      <c r="E77" s="1" t="s">
        <v>17</v>
      </c>
      <c r="F77" s="1" t="str">
        <f>VLOOKUP(B77,Sheet2!$G$2:$H$28,2,FALSE)</f>
        <v>가정중앙시장역</v>
      </c>
      <c r="G77" s="2" t="str">
        <f t="shared" si="6"/>
        <v>212EL004</v>
      </c>
      <c r="H77" s="1" t="s">
        <v>313</v>
      </c>
      <c r="I77" s="1" t="s">
        <v>322</v>
      </c>
      <c r="J77" s="1" t="str">
        <f t="shared" si="4"/>
        <v>212ZONE02</v>
      </c>
      <c r="K77" s="1" t="str">
        <f t="shared" si="7"/>
        <v>https://2line.pages.dev/?id=212EL004,212EL004</v>
      </c>
      <c r="L77" s="3" t="s">
        <v>345</v>
      </c>
    </row>
    <row r="78" spans="1:12" x14ac:dyDescent="0.3">
      <c r="A78" s="1">
        <f t="shared" si="5"/>
        <v>77</v>
      </c>
      <c r="B78" s="1">
        <v>212</v>
      </c>
      <c r="C78" s="1" t="s">
        <v>278</v>
      </c>
      <c r="D78" s="2">
        <v>5</v>
      </c>
      <c r="E78" s="1" t="s">
        <v>17</v>
      </c>
      <c r="F78" s="1" t="str">
        <f>VLOOKUP(B78,Sheet2!$G$2:$H$28,2,FALSE)</f>
        <v>가정중앙시장역</v>
      </c>
      <c r="G78" s="2" t="str">
        <f t="shared" si="6"/>
        <v>212EL005</v>
      </c>
      <c r="H78" s="1" t="s">
        <v>314</v>
      </c>
      <c r="I78" s="1" t="s">
        <v>322</v>
      </c>
      <c r="J78" s="1" t="str">
        <f t="shared" si="4"/>
        <v>212ZONE02</v>
      </c>
      <c r="K78" s="1" t="str">
        <f t="shared" si="7"/>
        <v>https://2line.pages.dev/?id=212EL005,212EL005</v>
      </c>
      <c r="L78" s="3" t="s">
        <v>346</v>
      </c>
    </row>
    <row r="79" spans="1:12" x14ac:dyDescent="0.3">
      <c r="A79" s="1">
        <f t="shared" si="5"/>
        <v>78</v>
      </c>
      <c r="B79" s="1">
        <v>212</v>
      </c>
      <c r="C79" s="1" t="s">
        <v>277</v>
      </c>
      <c r="D79" s="2" t="s">
        <v>315</v>
      </c>
      <c r="E79" s="1" t="s">
        <v>19</v>
      </c>
      <c r="F79" s="1" t="str">
        <f>VLOOKUP(B79,Sheet2!$G$2:$H$28,2,FALSE)</f>
        <v>가정중앙시장역</v>
      </c>
      <c r="G79" s="2" t="str">
        <f t="shared" si="6"/>
        <v>212TOILET1M</v>
      </c>
      <c r="H79" s="1" t="s">
        <v>318</v>
      </c>
      <c r="I79" s="1" t="s">
        <v>322</v>
      </c>
      <c r="J79" s="1" t="str">
        <f t="shared" si="4"/>
        <v>212ZONE01</v>
      </c>
      <c r="K79" s="1" t="str">
        <f t="shared" si="7"/>
        <v>https://2line.pages.dev/?id=212TOILET1M,212TOILET1M</v>
      </c>
      <c r="L79" s="3" t="s">
        <v>347</v>
      </c>
    </row>
    <row r="80" spans="1:12" x14ac:dyDescent="0.3">
      <c r="A80" s="1">
        <f t="shared" si="5"/>
        <v>79</v>
      </c>
      <c r="B80" s="1">
        <v>212</v>
      </c>
      <c r="C80" s="1" t="s">
        <v>277</v>
      </c>
      <c r="D80" s="2" t="s">
        <v>316</v>
      </c>
      <c r="E80" s="1" t="s">
        <v>19</v>
      </c>
      <c r="F80" s="1" t="str">
        <f>VLOOKUP(B80,Sheet2!$G$2:$H$28,2,FALSE)</f>
        <v>가정중앙시장역</v>
      </c>
      <c r="G80" s="2" t="str">
        <f t="shared" si="6"/>
        <v>212TOILET1W</v>
      </c>
      <c r="H80" s="1" t="s">
        <v>320</v>
      </c>
      <c r="I80" s="1" t="s">
        <v>322</v>
      </c>
      <c r="J80" s="1" t="str">
        <f t="shared" si="4"/>
        <v>212ZONE01</v>
      </c>
      <c r="K80" s="1" t="str">
        <f t="shared" si="7"/>
        <v>https://2line.pages.dev/?id=212TOILET1W,212TOILET1W</v>
      </c>
      <c r="L80" s="3" t="s">
        <v>348</v>
      </c>
    </row>
    <row r="81" spans="1:12" x14ac:dyDescent="0.3">
      <c r="A81" s="1">
        <f t="shared" si="5"/>
        <v>80</v>
      </c>
      <c r="B81" s="1">
        <v>212</v>
      </c>
      <c r="C81" s="1" t="s">
        <v>279</v>
      </c>
      <c r="D81" s="2">
        <v>1</v>
      </c>
      <c r="E81" s="1" t="s">
        <v>19</v>
      </c>
      <c r="F81" s="1" t="str">
        <f>VLOOKUP(B81,Sheet2!$G$2:$H$28,2,FALSE)</f>
        <v>가정중앙시장역</v>
      </c>
      <c r="G81" s="2" t="str">
        <f t="shared" ref="G81:G82" si="8">B81&amp;C81&amp;TEXT(D81,"000")</f>
        <v>212EXIT001</v>
      </c>
      <c r="H81" s="1" t="s">
        <v>350</v>
      </c>
      <c r="I81" s="1" t="s">
        <v>322</v>
      </c>
      <c r="J81" s="1" t="str">
        <f t="shared" ref="J81:J82" si="9">B81&amp;E81</f>
        <v>212ZONE01</v>
      </c>
      <c r="K81" s="1" t="str">
        <f t="shared" ref="K81:K82" si="10">"https://2line.pages.dev/?id="&amp;G81&amp;","&amp;G81</f>
        <v>https://2line.pages.dev/?id=212EXIT001,212EXIT001</v>
      </c>
      <c r="L81" s="3" t="s">
        <v>354</v>
      </c>
    </row>
    <row r="82" spans="1:12" x14ac:dyDescent="0.3">
      <c r="A82" s="1">
        <f t="shared" si="5"/>
        <v>81</v>
      </c>
      <c r="B82" s="1">
        <v>212</v>
      </c>
      <c r="C82" s="1" t="s">
        <v>279</v>
      </c>
      <c r="D82" s="2">
        <v>2</v>
      </c>
      <c r="E82" s="1" t="s">
        <v>19</v>
      </c>
      <c r="F82" s="1" t="str">
        <f>VLOOKUP(B82,Sheet2!$G$2:$H$28,2,FALSE)</f>
        <v>가정중앙시장역</v>
      </c>
      <c r="G82" s="2" t="str">
        <f t="shared" si="8"/>
        <v>212EXIT002</v>
      </c>
      <c r="H82" s="1" t="s">
        <v>371</v>
      </c>
      <c r="I82" s="1" t="s">
        <v>322</v>
      </c>
      <c r="J82" s="1" t="str">
        <f t="shared" si="9"/>
        <v>212ZONE01</v>
      </c>
      <c r="K82" s="1" t="str">
        <f t="shared" si="10"/>
        <v>https://2line.pages.dev/?id=212EXIT002,212EXIT002</v>
      </c>
      <c r="L82" s="3" t="s">
        <v>355</v>
      </c>
    </row>
    <row r="83" spans="1:12" x14ac:dyDescent="0.3">
      <c r="A83" s="7">
        <f t="shared" si="5"/>
        <v>82</v>
      </c>
      <c r="B83" s="1">
        <v>210</v>
      </c>
      <c r="C83" s="1" t="s">
        <v>279</v>
      </c>
      <c r="D83" s="2">
        <v>1</v>
      </c>
      <c r="E83" s="1" t="s">
        <v>19</v>
      </c>
      <c r="F83" s="1" t="str">
        <f>VLOOKUP(B83,Sheet2!$G$2:$H$28,2,FALSE)</f>
        <v>서해구청역</v>
      </c>
      <c r="G83" s="2" t="str">
        <f t="shared" ref="G83:G87" si="11">B83&amp;C83&amp;TEXT(D83,"000")</f>
        <v>210EXIT001</v>
      </c>
      <c r="H83" s="1" t="s">
        <v>374</v>
      </c>
      <c r="I83" s="1" t="s">
        <v>377</v>
      </c>
      <c r="J83" s="1" t="str">
        <f t="shared" ref="J83:J87" si="12">B83&amp;E83</f>
        <v>210ZONE01</v>
      </c>
      <c r="K83" s="1" t="str">
        <f t="shared" ref="K83:L88" si="13">"https://2line.pages.dev/?id="&amp;G83&amp;","&amp;G83</f>
        <v>https://2line.pages.dev/?id=210EXIT001,210EXIT001</v>
      </c>
      <c r="L83" s="3" t="s">
        <v>383</v>
      </c>
    </row>
    <row r="84" spans="1:12" x14ac:dyDescent="0.3">
      <c r="A84" s="7">
        <f t="shared" si="5"/>
        <v>83</v>
      </c>
      <c r="B84" s="1">
        <v>210</v>
      </c>
      <c r="C84" s="1" t="s">
        <v>279</v>
      </c>
      <c r="D84" s="2">
        <v>2</v>
      </c>
      <c r="E84" s="1" t="s">
        <v>19</v>
      </c>
      <c r="F84" s="1" t="str">
        <f>VLOOKUP(B84,Sheet2!$G$2:$H$28,2,FALSE)</f>
        <v>서해구청역</v>
      </c>
      <c r="G84" s="2" t="str">
        <f t="shared" si="11"/>
        <v>210EXIT002</v>
      </c>
      <c r="H84" s="1" t="s">
        <v>375</v>
      </c>
      <c r="I84" s="1" t="s">
        <v>377</v>
      </c>
      <c r="J84" s="1" t="str">
        <f t="shared" si="12"/>
        <v>210ZONE01</v>
      </c>
      <c r="K84" s="1" t="str">
        <f t="shared" si="13"/>
        <v>https://2line.pages.dev/?id=210EXIT002,210EXIT002</v>
      </c>
      <c r="L84" s="3" t="s">
        <v>384</v>
      </c>
    </row>
    <row r="85" spans="1:12" x14ac:dyDescent="0.3">
      <c r="A85" s="7">
        <f t="shared" si="5"/>
        <v>84</v>
      </c>
      <c r="B85" s="1">
        <v>210</v>
      </c>
      <c r="C85" s="1" t="s">
        <v>279</v>
      </c>
      <c r="D85" s="2">
        <v>3</v>
      </c>
      <c r="E85" s="1" t="s">
        <v>17</v>
      </c>
      <c r="F85" s="1" t="str">
        <f>VLOOKUP(B85,Sheet2!$G$2:$H$28,2,FALSE)</f>
        <v>서해구청역</v>
      </c>
      <c r="G85" s="2" t="str">
        <f t="shared" si="11"/>
        <v>210EXIT003</v>
      </c>
      <c r="H85" s="1" t="s">
        <v>372</v>
      </c>
      <c r="I85" s="1" t="s">
        <v>377</v>
      </c>
      <c r="J85" s="1" t="str">
        <f t="shared" si="12"/>
        <v>210ZONE02</v>
      </c>
      <c r="K85" s="1" t="str">
        <f t="shared" si="13"/>
        <v>https://2line.pages.dev/?id=210EXIT003,210EXIT003</v>
      </c>
      <c r="L85" s="3" t="s">
        <v>385</v>
      </c>
    </row>
    <row r="86" spans="1:12" x14ac:dyDescent="0.3">
      <c r="A86" s="7">
        <f t="shared" si="5"/>
        <v>85</v>
      </c>
      <c r="B86" s="1">
        <v>210</v>
      </c>
      <c r="C86" s="1" t="s">
        <v>279</v>
      </c>
      <c r="D86" s="2">
        <v>4</v>
      </c>
      <c r="E86" s="1" t="s">
        <v>23</v>
      </c>
      <c r="F86" s="1" t="str">
        <f>VLOOKUP(B86,Sheet2!$G$2:$H$28,2,FALSE)</f>
        <v>서해구청역</v>
      </c>
      <c r="G86" s="2" t="str">
        <f t="shared" si="11"/>
        <v>210EXIT004</v>
      </c>
      <c r="H86" s="1" t="s">
        <v>373</v>
      </c>
      <c r="I86" s="1" t="s">
        <v>377</v>
      </c>
      <c r="J86" s="1" t="str">
        <f t="shared" si="12"/>
        <v>210ZONE03</v>
      </c>
      <c r="K86" s="1" t="str">
        <f t="shared" si="13"/>
        <v>https://2line.pages.dev/?id=210EXIT004,210EXIT004</v>
      </c>
      <c r="L86" s="3" t="s">
        <v>386</v>
      </c>
    </row>
    <row r="87" spans="1:12" x14ac:dyDescent="0.3">
      <c r="A87" s="7">
        <f t="shared" si="5"/>
        <v>86</v>
      </c>
      <c r="B87" s="1">
        <v>210</v>
      </c>
      <c r="C87" s="1" t="s">
        <v>277</v>
      </c>
      <c r="D87" s="2">
        <v>1</v>
      </c>
      <c r="E87" s="1" t="s">
        <v>23</v>
      </c>
      <c r="F87" s="1" t="str">
        <f>VLOOKUP(B87,Sheet2!$G$2:$H$28,2,FALSE)</f>
        <v>서해구청역</v>
      </c>
      <c r="G87" s="2" t="str">
        <f t="shared" si="11"/>
        <v>210TOILET001</v>
      </c>
      <c r="H87" s="1" t="s">
        <v>376</v>
      </c>
      <c r="I87" s="1" t="s">
        <v>377</v>
      </c>
      <c r="J87" s="1" t="str">
        <f t="shared" si="12"/>
        <v>210ZONE03</v>
      </c>
      <c r="K87" s="1" t="str">
        <f t="shared" si="13"/>
        <v>https://2line.pages.dev/?id=210TOILET001,210TOILET001</v>
      </c>
      <c r="L87" s="3" t="s">
        <v>387</v>
      </c>
    </row>
    <row r="88" spans="1:12" x14ac:dyDescent="0.3">
      <c r="A88" s="7">
        <f t="shared" si="5"/>
        <v>87</v>
      </c>
      <c r="B88" s="7">
        <v>210</v>
      </c>
      <c r="C88" s="1" t="s">
        <v>276</v>
      </c>
      <c r="D88" s="2">
        <v>1</v>
      </c>
      <c r="E88" s="1" t="s">
        <v>24</v>
      </c>
      <c r="F88" s="7" t="str">
        <f>VLOOKUP(B88,Sheet2!$G$2:$H$28,2,FALSE)</f>
        <v>서해구청역</v>
      </c>
      <c r="G88" s="2" t="str">
        <f t="shared" ref="G88:G101" si="14">B88&amp;C88&amp;TEXT(D88,"000")</f>
        <v>210ES001</v>
      </c>
      <c r="H88" s="7" t="s">
        <v>378</v>
      </c>
      <c r="I88" s="7" t="s">
        <v>377</v>
      </c>
      <c r="J88" s="7" t="str">
        <f t="shared" ref="J88:J101" si="15">B88&amp;E88</f>
        <v>210ZONE06</v>
      </c>
      <c r="K88" s="7" t="str">
        <f t="shared" ref="K88:L102" si="16">"https://2line.pages.dev/?id="&amp;G88&amp;","&amp;G88</f>
        <v>https://2line.pages.dev/?id=210ES001,210ES001</v>
      </c>
      <c r="L88" s="3" t="s">
        <v>388</v>
      </c>
    </row>
    <row r="89" spans="1:12" x14ac:dyDescent="0.3">
      <c r="A89" s="7">
        <f t="shared" si="5"/>
        <v>88</v>
      </c>
      <c r="B89" s="7">
        <v>210</v>
      </c>
      <c r="C89" s="7" t="s">
        <v>276</v>
      </c>
      <c r="D89" s="2">
        <v>2</v>
      </c>
      <c r="E89" s="1" t="s">
        <v>13</v>
      </c>
      <c r="F89" s="7" t="str">
        <f>VLOOKUP(B89,Sheet2!$G$2:$H$28,2,FALSE)</f>
        <v>서해구청역</v>
      </c>
      <c r="G89" s="2" t="str">
        <f t="shared" si="14"/>
        <v>210ES002</v>
      </c>
      <c r="H89" s="7" t="s">
        <v>130</v>
      </c>
      <c r="I89" s="7" t="s">
        <v>377</v>
      </c>
      <c r="J89" s="7" t="str">
        <f t="shared" si="15"/>
        <v>210ZONE07</v>
      </c>
      <c r="K89" s="7" t="str">
        <f t="shared" si="16"/>
        <v>https://2line.pages.dev/?id=210ES002,210ES002</v>
      </c>
      <c r="L89" s="3" t="s">
        <v>389</v>
      </c>
    </row>
    <row r="90" spans="1:12" x14ac:dyDescent="0.3">
      <c r="A90" s="7">
        <f t="shared" si="5"/>
        <v>89</v>
      </c>
      <c r="B90" s="7">
        <v>210</v>
      </c>
      <c r="C90" s="7" t="s">
        <v>276</v>
      </c>
      <c r="D90" s="2">
        <v>3</v>
      </c>
      <c r="E90" s="7" t="s">
        <v>24</v>
      </c>
      <c r="F90" s="7" t="str">
        <f>VLOOKUP(B90,Sheet2!$G$2:$H$28,2,FALSE)</f>
        <v>서해구청역</v>
      </c>
      <c r="G90" s="2" t="str">
        <f t="shared" si="14"/>
        <v>210ES003</v>
      </c>
      <c r="H90" s="7" t="s">
        <v>131</v>
      </c>
      <c r="I90" s="7" t="s">
        <v>377</v>
      </c>
      <c r="J90" s="7" t="str">
        <f t="shared" si="15"/>
        <v>210ZONE06</v>
      </c>
      <c r="K90" s="7" t="str">
        <f t="shared" si="16"/>
        <v>https://2line.pages.dev/?id=210ES003,210ES003</v>
      </c>
      <c r="L90" s="3" t="s">
        <v>390</v>
      </c>
    </row>
    <row r="91" spans="1:12" x14ac:dyDescent="0.3">
      <c r="A91" s="7">
        <f t="shared" si="5"/>
        <v>90</v>
      </c>
      <c r="B91" s="7">
        <v>210</v>
      </c>
      <c r="C91" s="7" t="s">
        <v>276</v>
      </c>
      <c r="D91" s="2">
        <v>4</v>
      </c>
      <c r="E91" s="1" t="s">
        <v>10</v>
      </c>
      <c r="F91" s="7" t="str">
        <f>VLOOKUP(B91,Sheet2!$G$2:$H$28,2,FALSE)</f>
        <v>서해구청역</v>
      </c>
      <c r="G91" s="2" t="str">
        <f t="shared" si="14"/>
        <v>210ES004</v>
      </c>
      <c r="H91" s="7" t="s">
        <v>132</v>
      </c>
      <c r="I91" s="7" t="s">
        <v>377</v>
      </c>
      <c r="J91" s="7" t="str">
        <f t="shared" si="15"/>
        <v>210ZONE08</v>
      </c>
      <c r="K91" s="7" t="str">
        <f t="shared" si="16"/>
        <v>https://2line.pages.dev/?id=210ES004,210ES004</v>
      </c>
      <c r="L91" s="3" t="s">
        <v>391</v>
      </c>
    </row>
    <row r="92" spans="1:12" x14ac:dyDescent="0.3">
      <c r="A92" s="7">
        <f t="shared" si="5"/>
        <v>91</v>
      </c>
      <c r="B92" s="7">
        <v>210</v>
      </c>
      <c r="C92" s="7" t="s">
        <v>276</v>
      </c>
      <c r="D92" s="2">
        <v>5</v>
      </c>
      <c r="E92" s="1" t="s">
        <v>24</v>
      </c>
      <c r="F92" s="7" t="str">
        <f>VLOOKUP(B92,Sheet2!$G$2:$H$28,2,FALSE)</f>
        <v>서해구청역</v>
      </c>
      <c r="G92" s="2" t="str">
        <f t="shared" si="14"/>
        <v>210ES005</v>
      </c>
      <c r="H92" s="7" t="s">
        <v>133</v>
      </c>
      <c r="I92" s="7" t="s">
        <v>377</v>
      </c>
      <c r="J92" s="7" t="str">
        <f t="shared" si="15"/>
        <v>210ZONE06</v>
      </c>
      <c r="K92" s="7" t="str">
        <f t="shared" si="16"/>
        <v>https://2line.pages.dev/?id=210ES005,210ES005</v>
      </c>
      <c r="L92" s="3" t="s">
        <v>392</v>
      </c>
    </row>
    <row r="93" spans="1:12" x14ac:dyDescent="0.3">
      <c r="A93" s="7">
        <f t="shared" si="5"/>
        <v>92</v>
      </c>
      <c r="B93" s="7">
        <v>210</v>
      </c>
      <c r="C93" s="7" t="s">
        <v>276</v>
      </c>
      <c r="D93" s="2">
        <v>6</v>
      </c>
      <c r="E93" s="1" t="s">
        <v>25</v>
      </c>
      <c r="F93" s="7" t="str">
        <f>VLOOKUP(B93,Sheet2!$G$2:$H$28,2,FALSE)</f>
        <v>서해구청역</v>
      </c>
      <c r="G93" s="2" t="str">
        <f t="shared" si="14"/>
        <v>210ES006</v>
      </c>
      <c r="H93" s="7" t="s">
        <v>134</v>
      </c>
      <c r="I93" s="7" t="s">
        <v>377</v>
      </c>
      <c r="J93" s="7" t="str">
        <f t="shared" si="15"/>
        <v>210ZONE04</v>
      </c>
      <c r="K93" s="7" t="str">
        <f t="shared" si="16"/>
        <v>https://2line.pages.dev/?id=210ES006,210ES006</v>
      </c>
      <c r="L93" s="3" t="s">
        <v>393</v>
      </c>
    </row>
    <row r="94" spans="1:12" x14ac:dyDescent="0.3">
      <c r="A94" s="7">
        <f t="shared" si="5"/>
        <v>93</v>
      </c>
      <c r="B94" s="7">
        <v>210</v>
      </c>
      <c r="C94" s="7" t="s">
        <v>276</v>
      </c>
      <c r="D94" s="2">
        <v>7</v>
      </c>
      <c r="E94" s="1" t="s">
        <v>19</v>
      </c>
      <c r="F94" s="7" t="str">
        <f>VLOOKUP(B94,Sheet2!$G$2:$H$28,2,FALSE)</f>
        <v>서해구청역</v>
      </c>
      <c r="G94" s="2" t="str">
        <f t="shared" si="14"/>
        <v>210ES007</v>
      </c>
      <c r="H94" s="7" t="s">
        <v>135</v>
      </c>
      <c r="I94" s="7" t="s">
        <v>377</v>
      </c>
      <c r="J94" s="7" t="str">
        <f t="shared" si="15"/>
        <v>210ZONE01</v>
      </c>
      <c r="K94" s="7" t="str">
        <f t="shared" si="16"/>
        <v>https://2line.pages.dev/?id=210ES007,210ES007</v>
      </c>
      <c r="L94" s="3" t="s">
        <v>394</v>
      </c>
    </row>
    <row r="95" spans="1:12" x14ac:dyDescent="0.3">
      <c r="A95" s="7">
        <f t="shared" si="5"/>
        <v>94</v>
      </c>
      <c r="B95" s="7">
        <v>210</v>
      </c>
      <c r="C95" s="7" t="s">
        <v>276</v>
      </c>
      <c r="D95" s="2">
        <v>8</v>
      </c>
      <c r="E95" s="7" t="s">
        <v>19</v>
      </c>
      <c r="F95" s="7" t="str">
        <f>VLOOKUP(B95,Sheet2!$G$2:$H$28,2,FALSE)</f>
        <v>서해구청역</v>
      </c>
      <c r="G95" s="2" t="str">
        <f t="shared" si="14"/>
        <v>210ES008</v>
      </c>
      <c r="H95" s="7" t="s">
        <v>136</v>
      </c>
      <c r="I95" s="7" t="s">
        <v>377</v>
      </c>
      <c r="J95" s="7" t="str">
        <f t="shared" si="15"/>
        <v>210ZONE01</v>
      </c>
      <c r="K95" s="7" t="str">
        <f t="shared" si="16"/>
        <v>https://2line.pages.dev/?id=210ES008,210ES008</v>
      </c>
      <c r="L95" s="3" t="s">
        <v>395</v>
      </c>
    </row>
    <row r="96" spans="1:12" x14ac:dyDescent="0.3">
      <c r="A96" s="7">
        <f t="shared" si="5"/>
        <v>95</v>
      </c>
      <c r="B96" s="7">
        <v>210</v>
      </c>
      <c r="C96" s="7" t="s">
        <v>276</v>
      </c>
      <c r="D96" s="2">
        <v>9</v>
      </c>
      <c r="E96" s="1" t="s">
        <v>23</v>
      </c>
      <c r="F96" s="7" t="str">
        <f>VLOOKUP(B96,Sheet2!$G$2:$H$28,2,FALSE)</f>
        <v>서해구청역</v>
      </c>
      <c r="G96" s="2" t="str">
        <f t="shared" si="14"/>
        <v>210ES009</v>
      </c>
      <c r="H96" s="7" t="s">
        <v>137</v>
      </c>
      <c r="I96" s="7" t="s">
        <v>377</v>
      </c>
      <c r="J96" s="7" t="str">
        <f t="shared" si="15"/>
        <v>210ZONE03</v>
      </c>
      <c r="K96" s="7" t="str">
        <f t="shared" si="16"/>
        <v>https://2line.pages.dev/?id=210ES009,210ES009</v>
      </c>
      <c r="L96" s="3" t="s">
        <v>396</v>
      </c>
    </row>
    <row r="97" spans="1:12" x14ac:dyDescent="0.3">
      <c r="A97" s="7">
        <f t="shared" si="5"/>
        <v>96</v>
      </c>
      <c r="B97" s="7">
        <v>210</v>
      </c>
      <c r="C97" s="7" t="s">
        <v>276</v>
      </c>
      <c r="D97" s="2">
        <v>10</v>
      </c>
      <c r="E97" s="7" t="s">
        <v>23</v>
      </c>
      <c r="F97" s="7" t="str">
        <f>VLOOKUP(B97,Sheet2!$G$2:$H$28,2,FALSE)</f>
        <v>서해구청역</v>
      </c>
      <c r="G97" s="2" t="str">
        <f t="shared" si="14"/>
        <v>210ES010</v>
      </c>
      <c r="H97" s="7" t="s">
        <v>138</v>
      </c>
      <c r="I97" s="7" t="s">
        <v>377</v>
      </c>
      <c r="J97" s="7" t="str">
        <f t="shared" si="15"/>
        <v>210ZONE03</v>
      </c>
      <c r="K97" s="7" t="str">
        <f t="shared" si="16"/>
        <v>https://2line.pages.dev/?id=210ES010,210ES010</v>
      </c>
      <c r="L97" s="3" t="s">
        <v>397</v>
      </c>
    </row>
    <row r="98" spans="1:12" x14ac:dyDescent="0.3">
      <c r="A98" s="7">
        <f t="shared" si="5"/>
        <v>97</v>
      </c>
      <c r="B98" s="7">
        <v>210</v>
      </c>
      <c r="C98" s="1" t="s">
        <v>278</v>
      </c>
      <c r="D98" s="2">
        <v>1</v>
      </c>
      <c r="E98" s="1" t="s">
        <v>13</v>
      </c>
      <c r="F98" s="7" t="str">
        <f>VLOOKUP(B98,Sheet2!$G$2:$H$28,2,FALSE)</f>
        <v>서해구청역</v>
      </c>
      <c r="G98" s="2" t="str">
        <f t="shared" si="14"/>
        <v>210EL001</v>
      </c>
      <c r="H98" s="7" t="s">
        <v>379</v>
      </c>
      <c r="I98" s="7" t="s">
        <v>377</v>
      </c>
      <c r="J98" s="7" t="str">
        <f t="shared" si="15"/>
        <v>210ZONE07</v>
      </c>
      <c r="K98" s="7" t="str">
        <f t="shared" si="16"/>
        <v>https://2line.pages.dev/?id=210EL001,210EL001</v>
      </c>
      <c r="L98" s="3" t="s">
        <v>398</v>
      </c>
    </row>
    <row r="99" spans="1:12" x14ac:dyDescent="0.3">
      <c r="A99" s="7">
        <f t="shared" si="5"/>
        <v>98</v>
      </c>
      <c r="B99" s="7">
        <v>210</v>
      </c>
      <c r="C99" s="7" t="s">
        <v>278</v>
      </c>
      <c r="D99" s="2">
        <v>2</v>
      </c>
      <c r="E99" s="1" t="s">
        <v>10</v>
      </c>
      <c r="F99" s="7" t="str">
        <f>VLOOKUP(B99,Sheet2!$G$2:$H$28,2,FALSE)</f>
        <v>서해구청역</v>
      </c>
      <c r="G99" s="2" t="str">
        <f t="shared" si="14"/>
        <v>210EL002</v>
      </c>
      <c r="H99" s="7" t="s">
        <v>380</v>
      </c>
      <c r="I99" s="7" t="s">
        <v>377</v>
      </c>
      <c r="J99" s="7" t="str">
        <f t="shared" si="15"/>
        <v>210ZONE08</v>
      </c>
      <c r="K99" s="7" t="str">
        <f t="shared" si="16"/>
        <v>https://2line.pages.dev/?id=210EL002,210EL002</v>
      </c>
      <c r="L99" s="3" t="s">
        <v>399</v>
      </c>
    </row>
    <row r="100" spans="1:12" x14ac:dyDescent="0.3">
      <c r="A100" s="7">
        <f t="shared" si="5"/>
        <v>99</v>
      </c>
      <c r="B100" s="7">
        <v>210</v>
      </c>
      <c r="C100" s="7" t="s">
        <v>278</v>
      </c>
      <c r="D100" s="2">
        <v>3</v>
      </c>
      <c r="E100" s="1" t="s">
        <v>19</v>
      </c>
      <c r="F100" s="7" t="str">
        <f>VLOOKUP(B100,Sheet2!$G$2:$H$28,2,FALSE)</f>
        <v>서해구청역</v>
      </c>
      <c r="G100" s="2" t="str">
        <f t="shared" si="14"/>
        <v>210EL003</v>
      </c>
      <c r="H100" s="7" t="s">
        <v>381</v>
      </c>
      <c r="I100" s="7" t="s">
        <v>377</v>
      </c>
      <c r="J100" s="7" t="str">
        <f t="shared" si="15"/>
        <v>210ZONE01</v>
      </c>
      <c r="K100" s="7" t="str">
        <f t="shared" si="16"/>
        <v>https://2line.pages.dev/?id=210EL003,210EL003</v>
      </c>
      <c r="L100" s="3" t="s">
        <v>400</v>
      </c>
    </row>
    <row r="101" spans="1:12" x14ac:dyDescent="0.3">
      <c r="A101" s="7">
        <f t="shared" si="5"/>
        <v>100</v>
      </c>
      <c r="B101" s="7">
        <v>210</v>
      </c>
      <c r="C101" s="7" t="s">
        <v>278</v>
      </c>
      <c r="D101" s="2">
        <v>4</v>
      </c>
      <c r="E101" s="1" t="s">
        <v>17</v>
      </c>
      <c r="F101" s="7" t="str">
        <f>VLOOKUP(B101,Sheet2!$G$2:$H$28,2,FALSE)</f>
        <v>서해구청역</v>
      </c>
      <c r="G101" s="2" t="str">
        <f t="shared" si="14"/>
        <v>210EL004</v>
      </c>
      <c r="H101" s="7" t="s">
        <v>382</v>
      </c>
      <c r="I101" s="7" t="s">
        <v>377</v>
      </c>
      <c r="J101" s="7" t="str">
        <f t="shared" si="15"/>
        <v>210ZONE02</v>
      </c>
      <c r="K101" s="7" t="str">
        <f t="shared" si="16"/>
        <v>https://2line.pages.dev/?id=210EL004,210EL004</v>
      </c>
      <c r="L101" s="3" t="s">
        <v>401</v>
      </c>
    </row>
  </sheetData>
  <phoneticPr fontId="2" type="noConversion"/>
  <hyperlinks>
    <hyperlink ref="L2" r:id="rId1" xr:uid="{1E595BA4-49AE-4722-86E6-AB750EB1748B}"/>
    <hyperlink ref="L3" r:id="rId2" xr:uid="{E07937FE-D8DC-4136-B1C3-A3138C588FA4}"/>
    <hyperlink ref="L4" r:id="rId3" xr:uid="{B316EB4D-8555-45B1-A6FE-370D153E96EE}"/>
    <hyperlink ref="L5" r:id="rId4" xr:uid="{3DFCF419-4617-4789-9BA4-2A30B1C37884}"/>
    <hyperlink ref="L6" r:id="rId5" xr:uid="{B3B26ED7-4AF5-4D4F-B679-D055847B3793}"/>
    <hyperlink ref="L7" r:id="rId6" xr:uid="{B85FF41B-8309-407E-ACD0-FA3D8173418F}"/>
    <hyperlink ref="L8" r:id="rId7" xr:uid="{23387B4B-D540-4E46-9E46-CBD76D53A715}"/>
    <hyperlink ref="L9" r:id="rId8" xr:uid="{13AC9F38-34BB-413B-AC70-936F0121BE27}"/>
    <hyperlink ref="L10" r:id="rId9" xr:uid="{30E1AB07-D4C2-4DC9-9D3C-F019200B1C6B}"/>
    <hyperlink ref="L11" r:id="rId10" xr:uid="{49A3919D-9157-4C64-8038-C186839A7462}"/>
    <hyperlink ref="L12" r:id="rId11" xr:uid="{820FB378-B2B9-4E38-BEBD-AAFCA832F35A}"/>
    <hyperlink ref="L13" r:id="rId12" xr:uid="{EBC46720-1982-458F-A6E9-A498F67EBA8D}"/>
    <hyperlink ref="L14" r:id="rId13" xr:uid="{BF9D1E3C-BAC8-4C6B-A9AD-D3FEE156E6B0}"/>
    <hyperlink ref="L15" r:id="rId14" xr:uid="{8B748636-8ABC-47E0-B838-C4E0F0902C95}"/>
    <hyperlink ref="L16" r:id="rId15" xr:uid="{DC47B590-A982-4892-9F2F-FE9EEEEB35CD}"/>
    <hyperlink ref="L17" r:id="rId16" xr:uid="{688B67F3-00A3-439D-A509-EED5724CCFFE}"/>
    <hyperlink ref="L18" r:id="rId17" xr:uid="{A6BEA68A-8B96-446D-9B0C-6DDAC5F6FDC5}"/>
    <hyperlink ref="L19" r:id="rId18" xr:uid="{8C1F051B-1CF3-48B1-9B14-F33FC6B013C9}"/>
    <hyperlink ref="L20" r:id="rId19" xr:uid="{BD2A9421-F8D1-4496-8012-6797CB0430EC}"/>
    <hyperlink ref="L21" r:id="rId20" xr:uid="{FF61F45F-74B5-4581-8798-AFC3CA1361A8}"/>
    <hyperlink ref="L22" r:id="rId21" xr:uid="{6423C838-D454-4161-BCC8-E1D08A282642}"/>
    <hyperlink ref="L23" r:id="rId22" xr:uid="{E66D6351-3A7F-4BF3-926A-05432D05A20E}"/>
    <hyperlink ref="L24" r:id="rId23" xr:uid="{85CE90D3-8C16-4486-A75A-B26244E10047}"/>
    <hyperlink ref="L25" r:id="rId24" xr:uid="{8A6DBC81-58EA-4A84-89D9-6C29E7B1E012}"/>
    <hyperlink ref="L26" r:id="rId25" xr:uid="{750B4D90-B701-45AB-8658-D3A736C719D7}"/>
    <hyperlink ref="L27" r:id="rId26" xr:uid="{A48B0458-079D-45B9-802E-2B47B7B8F574}"/>
    <hyperlink ref="L28" r:id="rId27" xr:uid="{DC735A7A-198E-4C3B-AB23-2C07B4A57960}"/>
    <hyperlink ref="L29" r:id="rId28" xr:uid="{D14A97BA-8A18-4E01-8ECE-D4361A8D5855}"/>
    <hyperlink ref="L30" r:id="rId29" xr:uid="{CDD22077-4E18-4E82-B95C-7FF7D088F9A3}"/>
    <hyperlink ref="L31" r:id="rId30" xr:uid="{65236D68-AF5A-454F-9AD8-0BF255C724D7}"/>
    <hyperlink ref="L32" r:id="rId31" xr:uid="{82CA86B8-771C-4925-AE26-7208CE2E664B}"/>
    <hyperlink ref="L33" r:id="rId32" xr:uid="{9B8990BB-2D12-433A-8339-9A68A9847196}"/>
    <hyperlink ref="L34" r:id="rId33" xr:uid="{71016D7E-B6D7-49E8-892F-AA64D323B749}"/>
    <hyperlink ref="L35" r:id="rId34" xr:uid="{040161B4-E20E-48E7-A6D8-1A67435E33D7}"/>
    <hyperlink ref="L36" r:id="rId35" xr:uid="{17A273AD-58FA-4EE4-BBE7-2BD64179A869}"/>
    <hyperlink ref="L37" r:id="rId36" xr:uid="{4468033B-0E1F-4D62-94E3-B163F6C4E441}"/>
    <hyperlink ref="L38" r:id="rId37" xr:uid="{9F5CA3EC-A997-4BB1-BA63-F87852A05189}"/>
    <hyperlink ref="L39" r:id="rId38" xr:uid="{CFA034E4-AFC5-4777-A51C-73B9E2FFF31B}"/>
    <hyperlink ref="L40" r:id="rId39" xr:uid="{5EEF030B-AA9C-4EBF-B46F-4AE5503CDF28}"/>
    <hyperlink ref="L41" r:id="rId40" xr:uid="{4D11C1EA-EB55-46E0-AF25-B91AF9B42EFE}"/>
    <hyperlink ref="L42" r:id="rId41" xr:uid="{DF4CF1DE-733C-4A67-B521-D4DD830F2C50}"/>
    <hyperlink ref="L43" r:id="rId42" xr:uid="{A39E156C-536D-4EB9-BCAC-EE398C2C0C07}"/>
    <hyperlink ref="L44" r:id="rId43" xr:uid="{15C6CE19-87CF-4948-8800-E53376871EBC}"/>
    <hyperlink ref="L45" r:id="rId44" xr:uid="{F8F86C2C-0B24-4066-A4B4-8D4B0DEC739E}"/>
    <hyperlink ref="L46" r:id="rId45" xr:uid="{693A13BF-04A7-41A7-AEA4-A4E5D1BAD831}"/>
    <hyperlink ref="L47" r:id="rId46" xr:uid="{3355DAC1-37BB-4D72-A551-6C3129FA16CC}"/>
    <hyperlink ref="L48" r:id="rId47" xr:uid="{7C2F27A9-5CE3-4807-A235-CEC77A7A5580}"/>
    <hyperlink ref="L49" r:id="rId48" xr:uid="{10435E84-0A6C-48A1-A80A-2971A9494E03}"/>
    <hyperlink ref="L50" r:id="rId49" xr:uid="{0C74B438-C3ED-4B33-9315-F75B41DF910B}"/>
    <hyperlink ref="L51" r:id="rId50" xr:uid="{C4B44499-715F-4D9B-87AE-6808A0CE5BF5}"/>
    <hyperlink ref="L52" r:id="rId51" xr:uid="{3110432F-D957-420D-80FC-6F73BF0B09E1}"/>
    <hyperlink ref="L53" r:id="rId52" xr:uid="{5FC0057F-6D40-404E-8FAA-408569E83025}"/>
    <hyperlink ref="L54" r:id="rId53" xr:uid="{5A8A2853-74D6-47F1-B161-7890F1313D89}"/>
    <hyperlink ref="L55" r:id="rId54" xr:uid="{2334ACD8-CECE-4BB5-AEA3-7460C1E44BE1}"/>
    <hyperlink ref="L56" r:id="rId55" xr:uid="{F2700BB5-04CB-455C-99CE-0910D0425E59}"/>
    <hyperlink ref="L57" r:id="rId56" xr:uid="{00E5CC61-34DF-4CC8-B044-50411A059D7C}"/>
    <hyperlink ref="L58" r:id="rId57" xr:uid="{DCF75AC7-BA35-48EC-9D75-24E6337C6A1C}"/>
    <hyperlink ref="L59" r:id="rId58" xr:uid="{9A0BD514-6B96-4189-89B9-CB0ABC3E1BC1}"/>
    <hyperlink ref="L60" r:id="rId59" xr:uid="{F6E025F2-F83A-4DC9-BC76-EEBED2096D7E}"/>
    <hyperlink ref="L61" r:id="rId60" xr:uid="{6FF3A314-E4F6-4D17-B911-5C3688993E5A}"/>
    <hyperlink ref="L62" r:id="rId61" xr:uid="{AB2BE44A-F718-4E74-B85F-13B9E0C8E7DE}"/>
    <hyperlink ref="L63" r:id="rId62" xr:uid="{49B1C892-7618-4C21-8818-78512837CF66}"/>
    <hyperlink ref="L64" r:id="rId63" xr:uid="{AA8E5E0E-4286-4169-974B-5A04E688B899}"/>
    <hyperlink ref="L65" r:id="rId64" xr:uid="{741ABABF-A255-48B1-8DD4-06DAA91AC0F7}"/>
    <hyperlink ref="L66" r:id="rId65" xr:uid="{D30CCAC1-CADD-4977-8030-A43F8A4EF9ED}"/>
    <hyperlink ref="L67" r:id="rId66" xr:uid="{3756B581-8FEE-45E6-825A-4C6D551106D4}"/>
    <hyperlink ref="L68" r:id="rId67" xr:uid="{0619D852-156E-4D0E-8B42-52A33623837F}"/>
    <hyperlink ref="L69" r:id="rId68" xr:uid="{E024BAA3-3BCC-4CF6-9E63-5B843107CF2A}"/>
    <hyperlink ref="L70" r:id="rId69" xr:uid="{12AB217F-A980-4F58-88C4-32E022144386}"/>
    <hyperlink ref="L71" r:id="rId70" xr:uid="{E6DF6AAD-4A4C-49B5-9884-01C126C12058}"/>
    <hyperlink ref="L72" r:id="rId71" xr:uid="{BE5D0F7E-B30F-4B51-8F72-DE1711543BC9}"/>
    <hyperlink ref="L73" r:id="rId72" xr:uid="{47FAC229-D3BD-4681-9271-5EC14FCC1B98}"/>
    <hyperlink ref="L74" r:id="rId73" xr:uid="{2E88BC98-5A05-4BE7-AAA8-E5C721CCBCD0}"/>
    <hyperlink ref="L75" r:id="rId74" xr:uid="{84ADFDCA-7F4E-496A-85DB-8C29E29ADD19}"/>
    <hyperlink ref="L76" r:id="rId75" xr:uid="{77B0981A-6466-418B-824F-CB1FF0867FD2}"/>
    <hyperlink ref="L77" r:id="rId76" xr:uid="{336E8D45-6F18-4B61-A98A-48A8F3417A26}"/>
    <hyperlink ref="L78" r:id="rId77" xr:uid="{198A549C-C1D7-42C5-8D32-85E6C27C1234}"/>
    <hyperlink ref="L79" r:id="rId78" xr:uid="{581067EC-7115-47F0-B1C3-4B75B6FE05A8}"/>
    <hyperlink ref="L80" r:id="rId79" xr:uid="{203B0D94-065B-4033-A07B-261A16268CFD}"/>
    <hyperlink ref="L81" r:id="rId80" xr:uid="{660AE8F0-E818-4BF0-A9C1-97AF576BD02A}"/>
    <hyperlink ref="L82" r:id="rId81" xr:uid="{C3AB159B-152A-47A0-B758-229F168159A4}"/>
    <hyperlink ref="L83" r:id="rId82" xr:uid="{CDA4D126-CE9F-4575-98F5-47FB51D0F9DF}"/>
    <hyperlink ref="L84" r:id="rId83" xr:uid="{7A5A4F79-A3B2-4A50-8B8B-1A784BD7E52B}"/>
    <hyperlink ref="L85" r:id="rId84" xr:uid="{C38E6753-E8D0-49DA-857B-0097508CBFD0}"/>
    <hyperlink ref="L86" r:id="rId85" xr:uid="{F149D0EA-F181-43E6-BF28-C1C714895D93}"/>
    <hyperlink ref="L87" r:id="rId86" xr:uid="{5A6F7379-250D-4E93-93DF-312759A05A2C}"/>
    <hyperlink ref="L88" r:id="rId87" xr:uid="{720323A6-80F2-49A3-8530-0FD2183A904F}"/>
    <hyperlink ref="L89" r:id="rId88" xr:uid="{E2BF65CD-79D1-4AA5-B91D-549A163C86B9}"/>
    <hyperlink ref="L90" r:id="rId89" xr:uid="{A5601B0D-66E7-452D-893A-04D1B660EDB0}"/>
    <hyperlink ref="L91" r:id="rId90" xr:uid="{FB2682D3-0660-42D9-BB31-C55BBED3B8C0}"/>
    <hyperlink ref="L92" r:id="rId91" xr:uid="{8EAA5432-2010-4FAB-8FBC-497888E32827}"/>
    <hyperlink ref="L93" r:id="rId92" xr:uid="{F3FAAAA7-0BD4-4374-9267-5E4BC010B11E}"/>
    <hyperlink ref="L94" r:id="rId93" xr:uid="{928B81D5-B2D5-47E9-8837-D4819B783514}"/>
    <hyperlink ref="L95" r:id="rId94" xr:uid="{084C3E1C-CCE7-41FF-AFA3-51EAB719C4B1}"/>
    <hyperlink ref="L96" r:id="rId95" xr:uid="{6D9ACF20-85EF-452D-96FB-EB588E9A8CBC}"/>
    <hyperlink ref="L97" r:id="rId96" xr:uid="{E41961CE-4E7B-4001-8FA7-AD065A4C7514}"/>
    <hyperlink ref="L98" r:id="rId97" xr:uid="{B4BDCC83-883F-41DD-B485-B7A20C5A3772}"/>
    <hyperlink ref="L99" r:id="rId98" xr:uid="{411F2A0C-32B4-4D87-8641-BC43A0AA3204}"/>
    <hyperlink ref="L100" r:id="rId99" xr:uid="{2AB477BE-F512-458C-AFFA-BB678605C7FE}"/>
    <hyperlink ref="L101" r:id="rId100" xr:uid="{0D479A27-9741-4CFD-B82E-58D70EEEDBAF}"/>
  </hyperlinks>
  <pageMargins left="0.7" right="0.7" top="0.75" bottom="0.75" header="0.3" footer="0.3"/>
  <pageSetup paperSize="9" orientation="portrait" r:id="rId10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B2431-2E23-440D-9E6A-8A7AE671B423}">
  <dimension ref="A1:H82"/>
  <sheetViews>
    <sheetView topLeftCell="A4" workbookViewId="0"/>
  </sheetViews>
  <sheetFormatPr defaultRowHeight="16.5" x14ac:dyDescent="0.3"/>
  <cols>
    <col min="1" max="1" width="17.25" style="1" bestFit="1" customWidth="1"/>
    <col min="2" max="2" width="17.125" style="1" bestFit="1" customWidth="1"/>
    <col min="3" max="3" width="46" style="1" bestFit="1" customWidth="1"/>
    <col min="4" max="4" width="13.375" style="1" bestFit="1" customWidth="1"/>
    <col min="5" max="5" width="11.625" style="1" bestFit="1" customWidth="1"/>
    <col min="7" max="7" width="4.5" bestFit="1" customWidth="1"/>
    <col min="8" max="8" width="17.25" bestFit="1" customWidth="1"/>
  </cols>
  <sheetData>
    <row r="1" spans="1:8" x14ac:dyDescent="0.3">
      <c r="A1" s="1" t="s">
        <v>179</v>
      </c>
      <c r="B1" s="1" t="s">
        <v>178</v>
      </c>
      <c r="C1" s="1" t="s">
        <v>7</v>
      </c>
      <c r="D1" s="1" t="s">
        <v>8</v>
      </c>
      <c r="E1" s="1" t="s">
        <v>180</v>
      </c>
      <c r="G1" s="8" t="s">
        <v>225</v>
      </c>
      <c r="H1" s="8"/>
    </row>
    <row r="2" spans="1:8" x14ac:dyDescent="0.3">
      <c r="A2" s="1" t="s">
        <v>207</v>
      </c>
      <c r="B2" s="1" t="s">
        <v>91</v>
      </c>
      <c r="C2" s="1" t="s">
        <v>129</v>
      </c>
      <c r="D2" s="1" t="s">
        <v>356</v>
      </c>
      <c r="E2" s="1" t="s">
        <v>181</v>
      </c>
      <c r="G2">
        <v>201</v>
      </c>
      <c r="H2" s="1" t="s">
        <v>196</v>
      </c>
    </row>
    <row r="3" spans="1:8" x14ac:dyDescent="0.3">
      <c r="A3" s="1" t="s">
        <v>207</v>
      </c>
      <c r="B3" s="1" t="s">
        <v>92</v>
      </c>
      <c r="C3" s="1" t="s">
        <v>130</v>
      </c>
      <c r="D3" s="1" t="s">
        <v>356</v>
      </c>
      <c r="E3" s="1" t="s">
        <v>182</v>
      </c>
      <c r="G3">
        <v>202</v>
      </c>
      <c r="H3" s="1" t="s">
        <v>197</v>
      </c>
    </row>
    <row r="4" spans="1:8" x14ac:dyDescent="0.3">
      <c r="A4" s="1" t="s">
        <v>207</v>
      </c>
      <c r="B4" s="1" t="s">
        <v>93</v>
      </c>
      <c r="C4" s="1" t="s">
        <v>131</v>
      </c>
      <c r="D4" s="1" t="s">
        <v>356</v>
      </c>
      <c r="E4" s="1" t="s">
        <v>183</v>
      </c>
      <c r="G4">
        <v>203</v>
      </c>
      <c r="H4" s="1" t="s">
        <v>198</v>
      </c>
    </row>
    <row r="5" spans="1:8" x14ac:dyDescent="0.3">
      <c r="A5" s="1" t="s">
        <v>207</v>
      </c>
      <c r="B5" s="1" t="s">
        <v>94</v>
      </c>
      <c r="C5" s="1" t="s">
        <v>132</v>
      </c>
      <c r="D5" s="1" t="s">
        <v>356</v>
      </c>
      <c r="E5" s="1" t="s">
        <v>184</v>
      </c>
      <c r="G5">
        <v>204</v>
      </c>
      <c r="H5" s="1" t="s">
        <v>199</v>
      </c>
    </row>
    <row r="6" spans="1:8" x14ac:dyDescent="0.3">
      <c r="A6" s="1" t="s">
        <v>207</v>
      </c>
      <c r="B6" s="1" t="s">
        <v>95</v>
      </c>
      <c r="C6" s="1" t="s">
        <v>133</v>
      </c>
      <c r="D6" s="1" t="s">
        <v>356</v>
      </c>
      <c r="E6" s="1" t="s">
        <v>183</v>
      </c>
      <c r="G6">
        <v>205</v>
      </c>
      <c r="H6" s="1" t="s">
        <v>200</v>
      </c>
    </row>
    <row r="7" spans="1:8" x14ac:dyDescent="0.3">
      <c r="A7" s="1" t="s">
        <v>207</v>
      </c>
      <c r="B7" s="1" t="s">
        <v>96</v>
      </c>
      <c r="C7" s="1" t="s">
        <v>134</v>
      </c>
      <c r="D7" s="1" t="s">
        <v>356</v>
      </c>
      <c r="E7" s="1" t="s">
        <v>185</v>
      </c>
      <c r="G7">
        <v>206</v>
      </c>
      <c r="H7" s="1" t="s">
        <v>201</v>
      </c>
    </row>
    <row r="8" spans="1:8" x14ac:dyDescent="0.3">
      <c r="A8" s="1" t="s">
        <v>207</v>
      </c>
      <c r="B8" s="1" t="s">
        <v>97</v>
      </c>
      <c r="C8" s="1" t="s">
        <v>135</v>
      </c>
      <c r="D8" s="1" t="s">
        <v>356</v>
      </c>
      <c r="E8" s="1" t="s">
        <v>181</v>
      </c>
      <c r="G8">
        <v>207</v>
      </c>
      <c r="H8" s="1" t="s">
        <v>202</v>
      </c>
    </row>
    <row r="9" spans="1:8" x14ac:dyDescent="0.3">
      <c r="A9" s="1" t="s">
        <v>207</v>
      </c>
      <c r="B9" s="1" t="s">
        <v>98</v>
      </c>
      <c r="C9" s="1" t="s">
        <v>136</v>
      </c>
      <c r="D9" s="1" t="s">
        <v>356</v>
      </c>
      <c r="E9" s="1" t="s">
        <v>186</v>
      </c>
      <c r="G9">
        <v>208</v>
      </c>
      <c r="H9" s="1" t="s">
        <v>203</v>
      </c>
    </row>
    <row r="10" spans="1:8" x14ac:dyDescent="0.3">
      <c r="A10" s="1" t="s">
        <v>207</v>
      </c>
      <c r="B10" s="1" t="s">
        <v>99</v>
      </c>
      <c r="C10" s="1" t="s">
        <v>137</v>
      </c>
      <c r="D10" s="1" t="s">
        <v>356</v>
      </c>
      <c r="E10" s="1" t="s">
        <v>181</v>
      </c>
      <c r="G10">
        <v>209</v>
      </c>
      <c r="H10" s="1" t="s">
        <v>205</v>
      </c>
    </row>
    <row r="11" spans="1:8" x14ac:dyDescent="0.3">
      <c r="A11" s="1" t="s">
        <v>207</v>
      </c>
      <c r="B11" s="1" t="s">
        <v>100</v>
      </c>
      <c r="C11" s="1" t="s">
        <v>138</v>
      </c>
      <c r="D11" s="1" t="s">
        <v>356</v>
      </c>
      <c r="E11" s="1" t="s">
        <v>181</v>
      </c>
      <c r="G11">
        <v>210</v>
      </c>
      <c r="H11" s="1" t="s">
        <v>206</v>
      </c>
    </row>
    <row r="12" spans="1:8" x14ac:dyDescent="0.3">
      <c r="A12" s="1" t="s">
        <v>207</v>
      </c>
      <c r="B12" s="1" t="s">
        <v>101</v>
      </c>
      <c r="C12" s="1" t="s">
        <v>139</v>
      </c>
      <c r="D12" s="1" t="s">
        <v>356</v>
      </c>
      <c r="E12" s="1" t="s">
        <v>183</v>
      </c>
      <c r="G12">
        <v>211</v>
      </c>
      <c r="H12" s="1" t="s">
        <v>177</v>
      </c>
    </row>
    <row r="13" spans="1:8" x14ac:dyDescent="0.3">
      <c r="A13" s="1" t="s">
        <v>207</v>
      </c>
      <c r="B13" s="1" t="s">
        <v>102</v>
      </c>
      <c r="C13" s="1" t="s">
        <v>140</v>
      </c>
      <c r="D13" s="1" t="s">
        <v>356</v>
      </c>
      <c r="E13" s="1" t="s">
        <v>183</v>
      </c>
      <c r="G13">
        <v>212</v>
      </c>
      <c r="H13" s="1" t="s">
        <v>209</v>
      </c>
    </row>
    <row r="14" spans="1:8" x14ac:dyDescent="0.3">
      <c r="A14" s="1" t="s">
        <v>207</v>
      </c>
      <c r="B14" s="1" t="s">
        <v>103</v>
      </c>
      <c r="C14" s="1" t="s">
        <v>141</v>
      </c>
      <c r="D14" s="1" t="s">
        <v>356</v>
      </c>
      <c r="E14" s="1" t="s">
        <v>187</v>
      </c>
      <c r="G14">
        <v>213</v>
      </c>
      <c r="H14" s="1" t="s">
        <v>210</v>
      </c>
    </row>
    <row r="15" spans="1:8" x14ac:dyDescent="0.3">
      <c r="A15" s="1" t="s">
        <v>207</v>
      </c>
      <c r="B15" s="1" t="s">
        <v>104</v>
      </c>
      <c r="C15" s="1" t="s">
        <v>142</v>
      </c>
      <c r="D15" s="1" t="s">
        <v>356</v>
      </c>
      <c r="E15" s="1" t="s">
        <v>187</v>
      </c>
      <c r="G15">
        <v>214</v>
      </c>
      <c r="H15" s="1" t="s">
        <v>211</v>
      </c>
    </row>
    <row r="16" spans="1:8" x14ac:dyDescent="0.3">
      <c r="A16" s="1" t="s">
        <v>207</v>
      </c>
      <c r="B16" s="1" t="s">
        <v>105</v>
      </c>
      <c r="C16" s="1" t="s">
        <v>143</v>
      </c>
      <c r="D16" s="1" t="s">
        <v>356</v>
      </c>
      <c r="E16" s="1" t="s">
        <v>188</v>
      </c>
      <c r="G16">
        <v>215</v>
      </c>
      <c r="H16" s="1" t="s">
        <v>212</v>
      </c>
    </row>
    <row r="17" spans="1:8" x14ac:dyDescent="0.3">
      <c r="A17" s="1" t="s">
        <v>207</v>
      </c>
      <c r="B17" s="1" t="s">
        <v>106</v>
      </c>
      <c r="C17" s="1" t="s">
        <v>144</v>
      </c>
      <c r="D17" s="1" t="s">
        <v>356</v>
      </c>
      <c r="E17" s="1" t="s">
        <v>188</v>
      </c>
      <c r="G17">
        <v>216</v>
      </c>
      <c r="H17" s="1" t="s">
        <v>213</v>
      </c>
    </row>
    <row r="18" spans="1:8" x14ac:dyDescent="0.3">
      <c r="A18" s="1" t="s">
        <v>207</v>
      </c>
      <c r="B18" s="1" t="s">
        <v>107</v>
      </c>
      <c r="C18" s="1" t="s">
        <v>145</v>
      </c>
      <c r="D18" s="1" t="s">
        <v>356</v>
      </c>
      <c r="E18" s="1" t="s">
        <v>189</v>
      </c>
      <c r="G18">
        <v>217</v>
      </c>
      <c r="H18" s="1" t="s">
        <v>214</v>
      </c>
    </row>
    <row r="19" spans="1:8" x14ac:dyDescent="0.3">
      <c r="A19" s="1" t="s">
        <v>207</v>
      </c>
      <c r="B19" s="1" t="s">
        <v>108</v>
      </c>
      <c r="C19" s="1" t="s">
        <v>146</v>
      </c>
      <c r="D19" s="1" t="s">
        <v>356</v>
      </c>
      <c r="E19" s="1" t="s">
        <v>189</v>
      </c>
      <c r="G19">
        <v>218</v>
      </c>
      <c r="H19" s="1" t="s">
        <v>215</v>
      </c>
    </row>
    <row r="20" spans="1:8" x14ac:dyDescent="0.3">
      <c r="A20" s="1" t="s">
        <v>207</v>
      </c>
      <c r="B20" s="1" t="s">
        <v>242</v>
      </c>
      <c r="C20" s="1" t="s">
        <v>147</v>
      </c>
      <c r="D20" s="1" t="s">
        <v>356</v>
      </c>
      <c r="E20" s="1" t="s">
        <v>187</v>
      </c>
      <c r="G20">
        <v>219</v>
      </c>
      <c r="H20" s="1" t="s">
        <v>216</v>
      </c>
    </row>
    <row r="21" spans="1:8" x14ac:dyDescent="0.3">
      <c r="A21" s="1" t="s">
        <v>207</v>
      </c>
      <c r="B21" s="1" t="s">
        <v>243</v>
      </c>
      <c r="C21" s="1" t="s">
        <v>148</v>
      </c>
      <c r="D21" s="1" t="s">
        <v>356</v>
      </c>
      <c r="E21" s="1" t="s">
        <v>188</v>
      </c>
      <c r="G21">
        <v>220</v>
      </c>
      <c r="H21" s="1" t="s">
        <v>217</v>
      </c>
    </row>
    <row r="22" spans="1:8" x14ac:dyDescent="0.3">
      <c r="A22" s="1" t="s">
        <v>207</v>
      </c>
      <c r="B22" s="1" t="s">
        <v>244</v>
      </c>
      <c r="C22" s="1" t="s">
        <v>149</v>
      </c>
      <c r="D22" s="1" t="s">
        <v>356</v>
      </c>
      <c r="E22" s="1" t="s">
        <v>188</v>
      </c>
      <c r="G22">
        <v>221</v>
      </c>
      <c r="H22" s="1" t="s">
        <v>218</v>
      </c>
    </row>
    <row r="23" spans="1:8" x14ac:dyDescent="0.3">
      <c r="A23" s="1" t="s">
        <v>207</v>
      </c>
      <c r="B23" s="1" t="s">
        <v>245</v>
      </c>
      <c r="C23" s="1" t="s">
        <v>150</v>
      </c>
      <c r="D23" s="1" t="s">
        <v>356</v>
      </c>
      <c r="E23" s="1" t="s">
        <v>187</v>
      </c>
      <c r="G23">
        <v>222</v>
      </c>
      <c r="H23" s="1" t="s">
        <v>219</v>
      </c>
    </row>
    <row r="24" spans="1:8" x14ac:dyDescent="0.3">
      <c r="A24" s="1" t="s">
        <v>207</v>
      </c>
      <c r="B24" s="1" t="s">
        <v>246</v>
      </c>
      <c r="C24" s="1" t="s">
        <v>151</v>
      </c>
      <c r="D24" s="1" t="s">
        <v>356</v>
      </c>
      <c r="E24" s="1" t="s">
        <v>187</v>
      </c>
      <c r="G24">
        <v>223</v>
      </c>
      <c r="H24" s="1" t="s">
        <v>220</v>
      </c>
    </row>
    <row r="25" spans="1:8" x14ac:dyDescent="0.3">
      <c r="A25" s="1" t="s">
        <v>207</v>
      </c>
      <c r="B25" s="1" t="s">
        <v>247</v>
      </c>
      <c r="C25" s="1" t="s">
        <v>152</v>
      </c>
      <c r="D25" s="1" t="s">
        <v>356</v>
      </c>
      <c r="E25" s="1" t="s">
        <v>187</v>
      </c>
      <c r="G25">
        <v>224</v>
      </c>
      <c r="H25" s="1" t="s">
        <v>221</v>
      </c>
    </row>
    <row r="26" spans="1:8" x14ac:dyDescent="0.3">
      <c r="A26" s="1" t="s">
        <v>207</v>
      </c>
      <c r="B26" s="1" t="s">
        <v>248</v>
      </c>
      <c r="C26" s="1" t="s">
        <v>153</v>
      </c>
      <c r="D26" s="1" t="s">
        <v>356</v>
      </c>
      <c r="E26" s="1" t="s">
        <v>190</v>
      </c>
      <c r="G26">
        <v>225</v>
      </c>
      <c r="H26" s="1" t="s">
        <v>222</v>
      </c>
    </row>
    <row r="27" spans="1:8" x14ac:dyDescent="0.3">
      <c r="A27" s="1" t="s">
        <v>207</v>
      </c>
      <c r="B27" s="1" t="s">
        <v>249</v>
      </c>
      <c r="C27" s="1" t="s">
        <v>154</v>
      </c>
      <c r="D27" s="1" t="s">
        <v>356</v>
      </c>
      <c r="E27" s="1" t="s">
        <v>190</v>
      </c>
      <c r="G27">
        <v>226</v>
      </c>
      <c r="H27" s="1" t="s">
        <v>223</v>
      </c>
    </row>
    <row r="28" spans="1:8" x14ac:dyDescent="0.3">
      <c r="A28" s="1" t="s">
        <v>207</v>
      </c>
      <c r="B28" s="1" t="s">
        <v>250</v>
      </c>
      <c r="C28" s="1" t="s">
        <v>155</v>
      </c>
      <c r="D28" s="1" t="s">
        <v>356</v>
      </c>
      <c r="E28" s="1" t="s">
        <v>191</v>
      </c>
      <c r="G28">
        <v>227</v>
      </c>
      <c r="H28" s="1" t="s">
        <v>224</v>
      </c>
    </row>
    <row r="29" spans="1:8" x14ac:dyDescent="0.3">
      <c r="A29" s="1" t="s">
        <v>207</v>
      </c>
      <c r="B29" s="1" t="s">
        <v>251</v>
      </c>
      <c r="C29" s="1" t="s">
        <v>156</v>
      </c>
      <c r="D29" s="1" t="s">
        <v>356</v>
      </c>
      <c r="E29" s="1" t="s">
        <v>191</v>
      </c>
    </row>
    <row r="30" spans="1:8" x14ac:dyDescent="0.3">
      <c r="A30" s="1" t="s">
        <v>207</v>
      </c>
      <c r="B30" s="1" t="s">
        <v>109</v>
      </c>
      <c r="C30" s="1" t="s">
        <v>157</v>
      </c>
      <c r="D30" s="1" t="s">
        <v>356</v>
      </c>
      <c r="E30" s="1" t="s">
        <v>192</v>
      </c>
    </row>
    <row r="31" spans="1:8" x14ac:dyDescent="0.3">
      <c r="A31" s="1" t="s">
        <v>207</v>
      </c>
      <c r="B31" s="1" t="s">
        <v>110</v>
      </c>
      <c r="C31" s="1" t="s">
        <v>158</v>
      </c>
      <c r="D31" s="1" t="s">
        <v>356</v>
      </c>
      <c r="E31" s="1" t="s">
        <v>193</v>
      </c>
    </row>
    <row r="32" spans="1:8" x14ac:dyDescent="0.3">
      <c r="A32" s="1" t="s">
        <v>207</v>
      </c>
      <c r="B32" s="1" t="s">
        <v>111</v>
      </c>
      <c r="C32" s="1" t="s">
        <v>159</v>
      </c>
      <c r="D32" s="1" t="s">
        <v>356</v>
      </c>
      <c r="E32" s="1" t="s">
        <v>193</v>
      </c>
    </row>
    <row r="33" spans="1:5" x14ac:dyDescent="0.3">
      <c r="A33" s="1" t="s">
        <v>207</v>
      </c>
      <c r="B33" s="1" t="s">
        <v>112</v>
      </c>
      <c r="C33" s="1" t="s">
        <v>160</v>
      </c>
      <c r="D33" s="1" t="s">
        <v>356</v>
      </c>
      <c r="E33" s="1" t="s">
        <v>194</v>
      </c>
    </row>
    <row r="34" spans="1:5" x14ac:dyDescent="0.3">
      <c r="A34" s="1" t="s">
        <v>207</v>
      </c>
      <c r="B34" s="1" t="s">
        <v>113</v>
      </c>
      <c r="C34" s="1" t="s">
        <v>161</v>
      </c>
      <c r="D34" s="1" t="s">
        <v>356</v>
      </c>
      <c r="E34" s="1" t="s">
        <v>194</v>
      </c>
    </row>
    <row r="35" spans="1:5" x14ac:dyDescent="0.3">
      <c r="A35" s="1" t="s">
        <v>207</v>
      </c>
      <c r="B35" s="1" t="s">
        <v>114</v>
      </c>
      <c r="C35" s="1" t="s">
        <v>162</v>
      </c>
      <c r="D35" s="1" t="s">
        <v>356</v>
      </c>
      <c r="E35" s="1" t="s">
        <v>189</v>
      </c>
    </row>
    <row r="36" spans="1:5" x14ac:dyDescent="0.3">
      <c r="A36" s="1" t="s">
        <v>207</v>
      </c>
      <c r="B36" s="1" t="s">
        <v>115</v>
      </c>
      <c r="C36" s="1" t="s">
        <v>163</v>
      </c>
      <c r="D36" s="1" t="s">
        <v>356</v>
      </c>
      <c r="E36" s="1" t="s">
        <v>189</v>
      </c>
    </row>
    <row r="37" spans="1:5" x14ac:dyDescent="0.3">
      <c r="A37" s="1" t="s">
        <v>207</v>
      </c>
      <c r="B37" s="1" t="s">
        <v>116</v>
      </c>
      <c r="C37" s="1" t="s">
        <v>164</v>
      </c>
      <c r="D37" s="1" t="s">
        <v>356</v>
      </c>
      <c r="E37" s="1" t="s">
        <v>192</v>
      </c>
    </row>
    <row r="38" spans="1:5" x14ac:dyDescent="0.3">
      <c r="A38" s="1" t="s">
        <v>207</v>
      </c>
      <c r="B38" s="1" t="s">
        <v>117</v>
      </c>
      <c r="C38" s="1" t="s">
        <v>165</v>
      </c>
      <c r="D38" s="1" t="s">
        <v>356</v>
      </c>
      <c r="E38" s="1" t="s">
        <v>189</v>
      </c>
    </row>
    <row r="39" spans="1:5" x14ac:dyDescent="0.3">
      <c r="A39" s="1" t="s">
        <v>207</v>
      </c>
      <c r="B39" s="1" t="s">
        <v>118</v>
      </c>
      <c r="C39" s="1" t="s">
        <v>166</v>
      </c>
      <c r="D39" s="1" t="s">
        <v>356</v>
      </c>
      <c r="E39" s="1" t="s">
        <v>189</v>
      </c>
    </row>
    <row r="40" spans="1:5" x14ac:dyDescent="0.3">
      <c r="A40" s="1" t="s">
        <v>207</v>
      </c>
      <c r="B40" s="1" t="s">
        <v>119</v>
      </c>
      <c r="C40" s="1" t="s">
        <v>167</v>
      </c>
      <c r="D40" s="1" t="s">
        <v>356</v>
      </c>
      <c r="E40" s="1" t="s">
        <v>194</v>
      </c>
    </row>
    <row r="41" spans="1:5" x14ac:dyDescent="0.3">
      <c r="A41" s="1" t="s">
        <v>207</v>
      </c>
      <c r="B41" s="1" t="s">
        <v>120</v>
      </c>
      <c r="C41" s="1" t="s">
        <v>168</v>
      </c>
      <c r="D41" s="1" t="s">
        <v>356</v>
      </c>
      <c r="E41" s="1" t="s">
        <v>194</v>
      </c>
    </row>
    <row r="42" spans="1:5" x14ac:dyDescent="0.3">
      <c r="A42" s="1" t="s">
        <v>207</v>
      </c>
      <c r="B42" s="1" t="s">
        <v>121</v>
      </c>
      <c r="C42" s="1" t="s">
        <v>169</v>
      </c>
      <c r="D42" s="1" t="s">
        <v>356</v>
      </c>
      <c r="E42" s="1" t="s">
        <v>182</v>
      </c>
    </row>
    <row r="43" spans="1:5" x14ac:dyDescent="0.3">
      <c r="A43" s="1" t="s">
        <v>207</v>
      </c>
      <c r="B43" s="1" t="s">
        <v>122</v>
      </c>
      <c r="C43" s="1" t="s">
        <v>170</v>
      </c>
      <c r="D43" s="1" t="s">
        <v>356</v>
      </c>
      <c r="E43" s="1" t="s">
        <v>190</v>
      </c>
    </row>
    <row r="44" spans="1:5" x14ac:dyDescent="0.3">
      <c r="A44" s="1" t="s">
        <v>207</v>
      </c>
      <c r="B44" s="1" t="s">
        <v>123</v>
      </c>
      <c r="C44" s="1" t="s">
        <v>171</v>
      </c>
      <c r="D44" s="1" t="s">
        <v>356</v>
      </c>
      <c r="E44" s="1" t="s">
        <v>184</v>
      </c>
    </row>
    <row r="45" spans="1:5" x14ac:dyDescent="0.3">
      <c r="A45" s="1" t="s">
        <v>207</v>
      </c>
      <c r="B45" s="1" t="s">
        <v>124</v>
      </c>
      <c r="C45" s="1" t="s">
        <v>172</v>
      </c>
      <c r="D45" s="1" t="s">
        <v>356</v>
      </c>
      <c r="E45" s="1" t="s">
        <v>185</v>
      </c>
    </row>
    <row r="46" spans="1:5" x14ac:dyDescent="0.3">
      <c r="A46" s="1" t="s">
        <v>207</v>
      </c>
      <c r="B46" s="1" t="s">
        <v>125</v>
      </c>
      <c r="C46" s="1" t="s">
        <v>173</v>
      </c>
      <c r="D46" s="1" t="s">
        <v>356</v>
      </c>
      <c r="E46" s="1" t="s">
        <v>191</v>
      </c>
    </row>
    <row r="47" spans="1:5" x14ac:dyDescent="0.3">
      <c r="A47" s="1" t="s">
        <v>207</v>
      </c>
      <c r="B47" s="1" t="s">
        <v>126</v>
      </c>
      <c r="C47" s="1" t="s">
        <v>174</v>
      </c>
      <c r="D47" s="1" t="s">
        <v>356</v>
      </c>
      <c r="E47" s="1" t="s">
        <v>186</v>
      </c>
    </row>
    <row r="48" spans="1:5" x14ac:dyDescent="0.3">
      <c r="A48" s="1" t="s">
        <v>207</v>
      </c>
      <c r="B48" s="1" t="s">
        <v>127</v>
      </c>
      <c r="C48" s="1" t="s">
        <v>175</v>
      </c>
      <c r="D48" s="1" t="s">
        <v>356</v>
      </c>
      <c r="E48" s="1" t="s">
        <v>187</v>
      </c>
    </row>
    <row r="49" spans="1:5" x14ac:dyDescent="0.3">
      <c r="A49" s="1" t="s">
        <v>207</v>
      </c>
      <c r="B49" s="1" t="s">
        <v>128</v>
      </c>
      <c r="C49" s="1" t="s">
        <v>176</v>
      </c>
      <c r="D49" s="1" t="s">
        <v>356</v>
      </c>
      <c r="E49" s="1" t="s">
        <v>188</v>
      </c>
    </row>
    <row r="50" spans="1:5" x14ac:dyDescent="0.3">
      <c r="A50" s="1" t="s">
        <v>204</v>
      </c>
      <c r="B50" s="1" t="s">
        <v>252</v>
      </c>
      <c r="C50" s="1" t="s">
        <v>226</v>
      </c>
      <c r="D50" s="1" t="s">
        <v>274</v>
      </c>
      <c r="E50" s="1" t="s">
        <v>357</v>
      </c>
    </row>
    <row r="51" spans="1:5" x14ac:dyDescent="0.3">
      <c r="A51" s="1" t="s">
        <v>204</v>
      </c>
      <c r="B51" s="1" t="s">
        <v>253</v>
      </c>
      <c r="C51" s="1" t="s">
        <v>227</v>
      </c>
      <c r="D51" s="1" t="s">
        <v>274</v>
      </c>
      <c r="E51" s="1" t="s">
        <v>358</v>
      </c>
    </row>
    <row r="52" spans="1:5" x14ac:dyDescent="0.3">
      <c r="A52" s="1" t="s">
        <v>204</v>
      </c>
      <c r="B52" s="1" t="s">
        <v>254</v>
      </c>
      <c r="C52" s="1" t="s">
        <v>228</v>
      </c>
      <c r="D52" s="1" t="s">
        <v>274</v>
      </c>
      <c r="E52" s="1" t="s">
        <v>359</v>
      </c>
    </row>
    <row r="53" spans="1:5" x14ac:dyDescent="0.3">
      <c r="A53" s="1" t="s">
        <v>204</v>
      </c>
      <c r="B53" s="1" t="s">
        <v>255</v>
      </c>
      <c r="C53" s="1" t="s">
        <v>229</v>
      </c>
      <c r="D53" s="1" t="s">
        <v>274</v>
      </c>
      <c r="E53" s="1" t="s">
        <v>358</v>
      </c>
    </row>
    <row r="54" spans="1:5" x14ac:dyDescent="0.3">
      <c r="A54" s="1" t="s">
        <v>204</v>
      </c>
      <c r="B54" s="1" t="s">
        <v>256</v>
      </c>
      <c r="C54" s="1" t="s">
        <v>230</v>
      </c>
      <c r="D54" s="1" t="s">
        <v>274</v>
      </c>
      <c r="E54" s="1" t="s">
        <v>360</v>
      </c>
    </row>
    <row r="55" spans="1:5" x14ac:dyDescent="0.3">
      <c r="A55" s="1" t="s">
        <v>204</v>
      </c>
      <c r="B55" s="1" t="s">
        <v>257</v>
      </c>
      <c r="C55" s="1" t="s">
        <v>231</v>
      </c>
      <c r="D55" s="1" t="s">
        <v>274</v>
      </c>
      <c r="E55" s="1" t="s">
        <v>360</v>
      </c>
    </row>
    <row r="56" spans="1:5" x14ac:dyDescent="0.3">
      <c r="A56" s="1" t="s">
        <v>204</v>
      </c>
      <c r="B56" s="1" t="s">
        <v>258</v>
      </c>
      <c r="C56" s="1" t="s">
        <v>232</v>
      </c>
      <c r="D56" s="1" t="s">
        <v>274</v>
      </c>
      <c r="E56" s="1" t="s">
        <v>361</v>
      </c>
    </row>
    <row r="57" spans="1:5" x14ac:dyDescent="0.3">
      <c r="A57" s="1" t="s">
        <v>204</v>
      </c>
      <c r="B57" s="1" t="s">
        <v>259</v>
      </c>
      <c r="C57" s="1" t="s">
        <v>233</v>
      </c>
      <c r="D57" s="1" t="s">
        <v>274</v>
      </c>
      <c r="E57" s="1" t="s">
        <v>361</v>
      </c>
    </row>
    <row r="58" spans="1:5" x14ac:dyDescent="0.3">
      <c r="A58" s="1" t="s">
        <v>204</v>
      </c>
      <c r="B58" s="1" t="s">
        <v>260</v>
      </c>
      <c r="C58" s="1" t="s">
        <v>234</v>
      </c>
      <c r="D58" s="1" t="s">
        <v>274</v>
      </c>
      <c r="E58" s="1" t="s">
        <v>358</v>
      </c>
    </row>
    <row r="59" spans="1:5" x14ac:dyDescent="0.3">
      <c r="A59" s="1" t="s">
        <v>204</v>
      </c>
      <c r="B59" s="1" t="s">
        <v>261</v>
      </c>
      <c r="C59" s="1" t="s">
        <v>235</v>
      </c>
      <c r="D59" s="1" t="s">
        <v>274</v>
      </c>
      <c r="E59" s="1" t="s">
        <v>362</v>
      </c>
    </row>
    <row r="60" spans="1:5" x14ac:dyDescent="0.3">
      <c r="A60" s="1" t="s">
        <v>204</v>
      </c>
      <c r="B60" s="1" t="s">
        <v>262</v>
      </c>
      <c r="C60" s="1" t="s">
        <v>236</v>
      </c>
      <c r="D60" s="1" t="s">
        <v>274</v>
      </c>
      <c r="E60" s="1" t="s">
        <v>362</v>
      </c>
    </row>
    <row r="61" spans="1:5" x14ac:dyDescent="0.3">
      <c r="A61" s="1" t="s">
        <v>204</v>
      </c>
      <c r="B61" s="1" t="s">
        <v>263</v>
      </c>
      <c r="C61" s="1" t="s">
        <v>237</v>
      </c>
      <c r="D61" s="1" t="s">
        <v>274</v>
      </c>
      <c r="E61" s="1" t="s">
        <v>363</v>
      </c>
    </row>
    <row r="62" spans="1:5" x14ac:dyDescent="0.3">
      <c r="A62" s="1" t="s">
        <v>204</v>
      </c>
      <c r="B62" s="1" t="s">
        <v>264</v>
      </c>
      <c r="C62" s="1" t="s">
        <v>270</v>
      </c>
      <c r="D62" s="1" t="s">
        <v>274</v>
      </c>
      <c r="E62" s="1" t="s">
        <v>360</v>
      </c>
    </row>
    <row r="63" spans="1:5" x14ac:dyDescent="0.3">
      <c r="A63" s="1" t="s">
        <v>204</v>
      </c>
      <c r="B63" s="1" t="s">
        <v>265</v>
      </c>
      <c r="C63" s="1" t="s">
        <v>272</v>
      </c>
      <c r="D63" s="1" t="s">
        <v>274</v>
      </c>
      <c r="E63" s="1" t="s">
        <v>361</v>
      </c>
    </row>
    <row r="64" spans="1:5" x14ac:dyDescent="0.3">
      <c r="A64" s="1" t="s">
        <v>204</v>
      </c>
      <c r="B64" s="1" t="s">
        <v>266</v>
      </c>
      <c r="C64" s="1" t="s">
        <v>238</v>
      </c>
      <c r="D64" s="1" t="s">
        <v>274</v>
      </c>
      <c r="E64" s="1" t="s">
        <v>360</v>
      </c>
    </row>
    <row r="65" spans="1:5" x14ac:dyDescent="0.3">
      <c r="A65" s="1" t="s">
        <v>204</v>
      </c>
      <c r="B65" s="1" t="s">
        <v>267</v>
      </c>
      <c r="C65" s="1" t="s">
        <v>239</v>
      </c>
      <c r="D65" s="1" t="s">
        <v>274</v>
      </c>
      <c r="E65" s="1" t="s">
        <v>360</v>
      </c>
    </row>
    <row r="66" spans="1:5" x14ac:dyDescent="0.3">
      <c r="A66" s="1" t="s">
        <v>204</v>
      </c>
      <c r="B66" s="1" t="s">
        <v>268</v>
      </c>
      <c r="C66" s="1" t="s">
        <v>240</v>
      </c>
      <c r="D66" s="1" t="s">
        <v>274</v>
      </c>
      <c r="E66" s="1" t="s">
        <v>361</v>
      </c>
    </row>
    <row r="67" spans="1:5" x14ac:dyDescent="0.3">
      <c r="A67" s="1" t="s">
        <v>204</v>
      </c>
      <c r="B67" s="1" t="s">
        <v>269</v>
      </c>
      <c r="C67" s="1" t="s">
        <v>241</v>
      </c>
      <c r="D67" s="1" t="s">
        <v>274</v>
      </c>
      <c r="E67" s="1" t="s">
        <v>361</v>
      </c>
    </row>
    <row r="68" spans="1:5" x14ac:dyDescent="0.3">
      <c r="A68" s="1" t="s">
        <v>208</v>
      </c>
      <c r="B68" s="1" t="s">
        <v>323</v>
      </c>
      <c r="C68" s="1" t="s">
        <v>302</v>
      </c>
      <c r="D68" s="1" t="s">
        <v>321</v>
      </c>
      <c r="E68" s="1" t="s">
        <v>364</v>
      </c>
    </row>
    <row r="69" spans="1:5" x14ac:dyDescent="0.3">
      <c r="A69" s="1" t="s">
        <v>208</v>
      </c>
      <c r="B69" s="1" t="s">
        <v>324</v>
      </c>
      <c r="C69" s="1" t="s">
        <v>304</v>
      </c>
      <c r="D69" s="1" t="s">
        <v>321</v>
      </c>
      <c r="E69" s="1" t="s">
        <v>365</v>
      </c>
    </row>
    <row r="70" spans="1:5" x14ac:dyDescent="0.3">
      <c r="A70" s="1" t="s">
        <v>208</v>
      </c>
      <c r="B70" s="1" t="s">
        <v>325</v>
      </c>
      <c r="C70" s="1" t="s">
        <v>305</v>
      </c>
      <c r="D70" s="1" t="s">
        <v>321</v>
      </c>
      <c r="E70" s="1" t="s">
        <v>366</v>
      </c>
    </row>
    <row r="71" spans="1:5" x14ac:dyDescent="0.3">
      <c r="A71" s="1" t="s">
        <v>208</v>
      </c>
      <c r="B71" s="1" t="s">
        <v>326</v>
      </c>
      <c r="C71" s="1" t="s">
        <v>306</v>
      </c>
      <c r="D71" s="1" t="s">
        <v>321</v>
      </c>
      <c r="E71" s="1" t="s">
        <v>365</v>
      </c>
    </row>
    <row r="72" spans="1:5" x14ac:dyDescent="0.3">
      <c r="A72" s="1" t="s">
        <v>208</v>
      </c>
      <c r="B72" s="1" t="s">
        <v>327</v>
      </c>
      <c r="C72" s="1" t="s">
        <v>307</v>
      </c>
      <c r="D72" s="1" t="s">
        <v>321</v>
      </c>
      <c r="E72" s="1" t="s">
        <v>367</v>
      </c>
    </row>
    <row r="73" spans="1:5" x14ac:dyDescent="0.3">
      <c r="A73" s="1" t="s">
        <v>208</v>
      </c>
      <c r="B73" s="1" t="s">
        <v>328</v>
      </c>
      <c r="C73" s="1" t="s">
        <v>308</v>
      </c>
      <c r="D73" s="1" t="s">
        <v>321</v>
      </c>
      <c r="E73" s="1" t="s">
        <v>367</v>
      </c>
    </row>
    <row r="74" spans="1:5" x14ac:dyDescent="0.3">
      <c r="A74" s="1" t="s">
        <v>208</v>
      </c>
      <c r="B74" s="1" t="s">
        <v>329</v>
      </c>
      <c r="C74" s="1" t="s">
        <v>309</v>
      </c>
      <c r="D74" s="1" t="s">
        <v>321</v>
      </c>
      <c r="E74" s="1" t="s">
        <v>368</v>
      </c>
    </row>
    <row r="75" spans="1:5" x14ac:dyDescent="0.3">
      <c r="A75" s="1" t="s">
        <v>208</v>
      </c>
      <c r="B75" s="1" t="s">
        <v>330</v>
      </c>
      <c r="C75" s="1" t="s">
        <v>311</v>
      </c>
      <c r="D75" s="1" t="s">
        <v>321</v>
      </c>
      <c r="E75" s="1" t="s">
        <v>369</v>
      </c>
    </row>
    <row r="76" spans="1:5" x14ac:dyDescent="0.3">
      <c r="A76" s="1" t="s">
        <v>208</v>
      </c>
      <c r="B76" s="1" t="s">
        <v>331</v>
      </c>
      <c r="C76" s="1" t="s">
        <v>312</v>
      </c>
      <c r="D76" s="1" t="s">
        <v>321</v>
      </c>
      <c r="E76" s="1" t="s">
        <v>367</v>
      </c>
    </row>
    <row r="77" spans="1:5" x14ac:dyDescent="0.3">
      <c r="A77" s="1" t="s">
        <v>208</v>
      </c>
      <c r="B77" s="1" t="s">
        <v>332</v>
      </c>
      <c r="C77" s="1" t="s">
        <v>313</v>
      </c>
      <c r="D77" s="1" t="s">
        <v>321</v>
      </c>
      <c r="E77" s="1" t="s">
        <v>370</v>
      </c>
    </row>
    <row r="78" spans="1:5" x14ac:dyDescent="0.3">
      <c r="A78" s="1" t="s">
        <v>208</v>
      </c>
      <c r="B78" s="1" t="s">
        <v>333</v>
      </c>
      <c r="C78" s="1" t="s">
        <v>314</v>
      </c>
      <c r="D78" s="1" t="s">
        <v>321</v>
      </c>
      <c r="E78" s="1" t="s">
        <v>370</v>
      </c>
    </row>
    <row r="79" spans="1:5" x14ac:dyDescent="0.3">
      <c r="A79" s="1" t="s">
        <v>208</v>
      </c>
      <c r="B79" s="1" t="s">
        <v>334</v>
      </c>
      <c r="C79" s="1" t="s">
        <v>317</v>
      </c>
      <c r="D79" s="1" t="s">
        <v>321</v>
      </c>
      <c r="E79" s="1" t="s">
        <v>367</v>
      </c>
    </row>
    <row r="80" spans="1:5" x14ac:dyDescent="0.3">
      <c r="A80" s="1" t="s">
        <v>208</v>
      </c>
      <c r="B80" s="1" t="s">
        <v>335</v>
      </c>
      <c r="C80" s="1" t="s">
        <v>319</v>
      </c>
      <c r="D80" s="1" t="s">
        <v>321</v>
      </c>
      <c r="E80" s="1" t="s">
        <v>367</v>
      </c>
    </row>
    <row r="81" spans="1:5" x14ac:dyDescent="0.3">
      <c r="A81" s="1" t="s">
        <v>208</v>
      </c>
      <c r="B81" s="1" t="s">
        <v>352</v>
      </c>
      <c r="C81" s="1" t="s">
        <v>349</v>
      </c>
      <c r="D81" s="1" t="s">
        <v>321</v>
      </c>
      <c r="E81" s="1" t="s">
        <v>367</v>
      </c>
    </row>
    <row r="82" spans="1:5" x14ac:dyDescent="0.3">
      <c r="A82" s="1" t="s">
        <v>208</v>
      </c>
      <c r="B82" s="1" t="s">
        <v>353</v>
      </c>
      <c r="C82" s="1" t="s">
        <v>351</v>
      </c>
      <c r="D82" s="1" t="s">
        <v>321</v>
      </c>
      <c r="E82" s="1" t="s">
        <v>367</v>
      </c>
    </row>
  </sheetData>
  <mergeCells count="1">
    <mergeCell ref="G1:H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인천교통공사</dc:creator>
  <cp:lastModifiedBy>user</cp:lastModifiedBy>
  <dcterms:created xsi:type="dcterms:W3CDTF">2026-06-30T14:17:58Z</dcterms:created>
  <dcterms:modified xsi:type="dcterms:W3CDTF">2026-07-19T11:58:00Z</dcterms:modified>
</cp:coreProperties>
</file>